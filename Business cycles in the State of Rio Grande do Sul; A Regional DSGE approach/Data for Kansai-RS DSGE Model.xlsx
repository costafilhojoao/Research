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h\Downloads\"/>
    </mc:Choice>
  </mc:AlternateContent>
  <xr:revisionPtr revIDLastSave="0" documentId="8_{F123BFBA-4B61-45CB-AF26-61BB88AF8B90}" xr6:coauthVersionLast="47" xr6:coauthVersionMax="47" xr10:uidLastSave="{00000000-0000-0000-0000-000000000000}"/>
  <bookViews>
    <workbookView xWindow="-120" yWindow="-120" windowWidth="29040" windowHeight="15720" activeTab="5" xr2:uid="{5B12B232-ED89-47C3-847D-3CD5A9CB53AE}"/>
  </bookViews>
  <sheets>
    <sheet name="GDP" sheetId="5" r:id="rId1"/>
    <sheet name="Goverment Expenditure" sheetId="1" r:id="rId2"/>
    <sheet name="Goverment Revenues" sheetId="2" r:id="rId3"/>
    <sheet name="Series" sheetId="3" r:id="rId4"/>
    <sheet name="Correlations" sheetId="13" r:id="rId5"/>
    <sheet name="Taylor-RS" sheetId="6" r:id="rId6"/>
    <sheet name="PMC-Potencial" sheetId="7" r:id="rId7"/>
    <sheet name="Ac" sheetId="8" r:id="rId8"/>
    <sheet name="Ad" sheetId="9" r:id="rId9"/>
    <sheet name="Employment" sheetId="10" r:id="rId10"/>
    <sheet name="Durable GDP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8" i="6" l="1"/>
  <c r="D238" i="6"/>
  <c r="B23" i="3"/>
  <c r="O84" i="3"/>
  <c r="O85" i="3"/>
  <c r="O86" i="3"/>
  <c r="O87" i="3"/>
  <c r="O88" i="3"/>
  <c r="O89" i="3"/>
  <c r="O83" i="3"/>
  <c r="C17" i="8"/>
  <c r="B17" i="8"/>
  <c r="B51" i="8" l="1"/>
  <c r="C51" i="8"/>
  <c r="D51" i="8"/>
  <c r="B52" i="8"/>
  <c r="C52" i="8"/>
  <c r="D52" i="8"/>
  <c r="B53" i="8"/>
  <c r="C53" i="8"/>
  <c r="D53" i="8"/>
  <c r="B54" i="8"/>
  <c r="C54" i="8"/>
  <c r="D54" i="8"/>
  <c r="B55" i="8"/>
  <c r="C55" i="8"/>
  <c r="D55" i="8"/>
  <c r="B56" i="8"/>
  <c r="C56" i="8"/>
  <c r="D56" i="8"/>
  <c r="B57" i="8"/>
  <c r="C57" i="8"/>
  <c r="D57" i="8"/>
  <c r="B58" i="8"/>
  <c r="C58" i="8"/>
  <c r="D58" i="8"/>
  <c r="B59" i="8"/>
  <c r="C59" i="8"/>
  <c r="D59" i="8"/>
  <c r="B60" i="8"/>
  <c r="C60" i="8"/>
  <c r="D60" i="8"/>
  <c r="B61" i="8"/>
  <c r="C61" i="8"/>
  <c r="D61" i="8"/>
  <c r="B62" i="8"/>
  <c r="C62" i="8"/>
  <c r="D62" i="8"/>
  <c r="C50" i="8"/>
  <c r="D50" i="8"/>
  <c r="B50" i="8"/>
  <c r="D38" i="8"/>
  <c r="D39" i="8"/>
  <c r="D40" i="8"/>
  <c r="D41" i="8"/>
  <c r="D42" i="8"/>
  <c r="D43" i="8"/>
  <c r="D44" i="8"/>
  <c r="D45" i="8"/>
  <c r="D46" i="8"/>
  <c r="D47" i="8"/>
  <c r="D37" i="8"/>
  <c r="O82" i="3" l="1"/>
  <c r="F125" i="3"/>
  <c r="H125" i="3" s="1"/>
  <c r="F126" i="3"/>
  <c r="H126" i="3" s="1"/>
  <c r="F127" i="3"/>
  <c r="F128" i="3"/>
  <c r="H128" i="3" s="1"/>
  <c r="F129" i="3"/>
  <c r="H129" i="3" s="1"/>
  <c r="J129" i="3" s="1"/>
  <c r="F130" i="3"/>
  <c r="H130" i="3" s="1"/>
  <c r="F131" i="3"/>
  <c r="H131" i="3" s="1"/>
  <c r="J131" i="3" s="1"/>
  <c r="F124" i="3"/>
  <c r="H124" i="3" s="1"/>
  <c r="I131" i="3"/>
  <c r="I130" i="3"/>
  <c r="I129" i="3"/>
  <c r="I128" i="3"/>
  <c r="I127" i="3"/>
  <c r="H127" i="3"/>
  <c r="J127" i="3" s="1"/>
  <c r="I126" i="3"/>
  <c r="I125" i="3"/>
  <c r="I124" i="3"/>
  <c r="I123" i="3"/>
  <c r="H123" i="3"/>
  <c r="H79" i="3"/>
  <c r="I110" i="3"/>
  <c r="I111" i="3"/>
  <c r="I112" i="3"/>
  <c r="J112" i="3" s="1"/>
  <c r="I113" i="3"/>
  <c r="J113" i="3" s="1"/>
  <c r="I114" i="3"/>
  <c r="I115" i="3"/>
  <c r="I116" i="3"/>
  <c r="I117" i="3"/>
  <c r="I109" i="3"/>
  <c r="H110" i="3"/>
  <c r="H111" i="3"/>
  <c r="H112" i="3"/>
  <c r="H113" i="3"/>
  <c r="H114" i="3"/>
  <c r="H115" i="3"/>
  <c r="J115" i="3" s="1"/>
  <c r="H116" i="3"/>
  <c r="H117" i="3"/>
  <c r="H109" i="3"/>
  <c r="F96" i="3"/>
  <c r="F97" i="3"/>
  <c r="H97" i="3" s="1"/>
  <c r="F98" i="3"/>
  <c r="F99" i="3"/>
  <c r="F100" i="3"/>
  <c r="F101" i="3"/>
  <c r="F102" i="3"/>
  <c r="F95" i="3"/>
  <c r="H98" i="3"/>
  <c r="I102" i="3"/>
  <c r="I101" i="3"/>
  <c r="I97" i="3"/>
  <c r="I95" i="3"/>
  <c r="I84" i="3"/>
  <c r="I89" i="3"/>
  <c r="I90" i="3"/>
  <c r="I82" i="3"/>
  <c r="H88" i="3"/>
  <c r="I39" i="3"/>
  <c r="B81" i="3"/>
  <c r="B82" i="3"/>
  <c r="B83" i="3"/>
  <c r="B84" i="3"/>
  <c r="B85" i="3"/>
  <c r="B86" i="3"/>
  <c r="B87" i="3"/>
  <c r="B88" i="3"/>
  <c r="B89" i="3"/>
  <c r="B90" i="3"/>
  <c r="B91" i="3"/>
  <c r="B80" i="3"/>
  <c r="F23" i="3"/>
  <c r="F24" i="3"/>
  <c r="F25" i="3"/>
  <c r="F26" i="3"/>
  <c r="F27" i="3"/>
  <c r="F28" i="3"/>
  <c r="F29" i="3"/>
  <c r="F30" i="3"/>
  <c r="F31" i="3"/>
  <c r="F32" i="3"/>
  <c r="F33" i="3"/>
  <c r="F22" i="3"/>
  <c r="J39" i="3"/>
  <c r="H38" i="3"/>
  <c r="F38" i="3"/>
  <c r="E38" i="3"/>
  <c r="D38" i="3"/>
  <c r="C38" i="3"/>
  <c r="B38" i="3"/>
  <c r="H95" i="3" l="1"/>
  <c r="J126" i="3"/>
  <c r="J124" i="3"/>
  <c r="H90" i="3"/>
  <c r="J90" i="3" s="1"/>
  <c r="I83" i="3"/>
  <c r="I100" i="3"/>
  <c r="J128" i="3"/>
  <c r="H89" i="3"/>
  <c r="J89" i="3" s="1"/>
  <c r="I94" i="3"/>
  <c r="H83" i="3"/>
  <c r="I96" i="3"/>
  <c r="J109" i="3"/>
  <c r="J110" i="3"/>
  <c r="J111" i="3"/>
  <c r="J125" i="3"/>
  <c r="J116" i="3"/>
  <c r="J117" i="3"/>
  <c r="J130" i="3"/>
  <c r="J123" i="3"/>
  <c r="J79" i="3"/>
  <c r="J114" i="3"/>
  <c r="J95" i="3"/>
  <c r="J97" i="3"/>
  <c r="H87" i="3"/>
  <c r="I88" i="3"/>
  <c r="J88" i="3" s="1"/>
  <c r="I98" i="3"/>
  <c r="J98" i="3" s="1"/>
  <c r="H100" i="3"/>
  <c r="J100" i="3" s="1"/>
  <c r="H96" i="3"/>
  <c r="J96" i="3" s="1"/>
  <c r="H86" i="3"/>
  <c r="I87" i="3"/>
  <c r="H99" i="3"/>
  <c r="H82" i="3"/>
  <c r="J82" i="3" s="1"/>
  <c r="H85" i="3"/>
  <c r="I86" i="3"/>
  <c r="I99" i="3"/>
  <c r="H102" i="3"/>
  <c r="J102" i="3" s="1"/>
  <c r="H84" i="3"/>
  <c r="J84" i="3" s="1"/>
  <c r="I85" i="3"/>
  <c r="H94" i="3"/>
  <c r="H101" i="3"/>
  <c r="J101" i="3" s="1"/>
  <c r="AA8" i="8"/>
  <c r="AA9" i="8"/>
  <c r="AA10" i="8"/>
  <c r="AA11" i="8"/>
  <c r="AA12" i="8"/>
  <c r="AA13" i="8"/>
  <c r="AA14" i="8"/>
  <c r="AA15" i="8"/>
  <c r="AA16" i="8"/>
  <c r="AA7" i="8"/>
  <c r="Z8" i="8"/>
  <c r="Z9" i="8"/>
  <c r="Z10" i="8"/>
  <c r="Z11" i="8"/>
  <c r="Z12" i="8"/>
  <c r="Z13" i="8"/>
  <c r="Z14" i="8"/>
  <c r="Z15" i="8"/>
  <c r="Z16" i="8"/>
  <c r="Z7" i="8"/>
  <c r="U8" i="8"/>
  <c r="U9" i="8"/>
  <c r="U10" i="8"/>
  <c r="U11" i="8"/>
  <c r="U12" i="8"/>
  <c r="U13" i="8"/>
  <c r="U14" i="8"/>
  <c r="U15" i="8"/>
  <c r="U16" i="8"/>
  <c r="U7" i="8"/>
  <c r="J83" i="3" l="1"/>
  <c r="J94" i="3"/>
  <c r="K78" i="3"/>
  <c r="O81" i="3"/>
  <c r="J85" i="3"/>
  <c r="J87" i="3"/>
  <c r="K79" i="3"/>
  <c r="J99" i="3"/>
  <c r="J86" i="3"/>
  <c r="K3" i="8"/>
  <c r="L6" i="8" s="1"/>
  <c r="L7" i="8" s="1"/>
  <c r="I6" i="8"/>
  <c r="H3" i="8" s="1"/>
  <c r="G7" i="8"/>
  <c r="G8" i="8"/>
  <c r="G9" i="8"/>
  <c r="G10" i="8"/>
  <c r="G11" i="8"/>
  <c r="G12" i="8"/>
  <c r="G13" i="8"/>
  <c r="G14" i="8"/>
  <c r="G15" i="8"/>
  <c r="G16" i="8"/>
  <c r="G6" i="8"/>
  <c r="B7" i="9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7" i="8"/>
  <c r="D7" i="8" s="1"/>
  <c r="D6" i="8"/>
  <c r="J7" i="9"/>
  <c r="I7" i="9"/>
  <c r="AE17" i="8"/>
  <c r="AD17" i="8"/>
  <c r="V17" i="8"/>
  <c r="AB17" i="8" s="1"/>
  <c r="O17" i="8"/>
  <c r="P17" i="8" s="1"/>
  <c r="AE16" i="8"/>
  <c r="AD16" i="8"/>
  <c r="V16" i="8"/>
  <c r="AB16" i="8" s="1"/>
  <c r="O16" i="8"/>
  <c r="P16" i="8" s="1"/>
  <c r="AE15" i="8"/>
  <c r="AD15" i="8"/>
  <c r="V15" i="8"/>
  <c r="AB15" i="8" s="1"/>
  <c r="O15" i="8"/>
  <c r="P15" i="8" s="1"/>
  <c r="AE14" i="8"/>
  <c r="AD14" i="8"/>
  <c r="V14" i="8"/>
  <c r="AB14" i="8" s="1"/>
  <c r="O14" i="8"/>
  <c r="P14" i="8" s="1"/>
  <c r="AE13" i="8"/>
  <c r="AD13" i="8"/>
  <c r="V13" i="8"/>
  <c r="AB13" i="8" s="1"/>
  <c r="O13" i="8"/>
  <c r="P13" i="8" s="1"/>
  <c r="AE12" i="8"/>
  <c r="AD12" i="8"/>
  <c r="V12" i="8"/>
  <c r="AB12" i="8" s="1"/>
  <c r="O12" i="8"/>
  <c r="P12" i="8" s="1"/>
  <c r="V11" i="8"/>
  <c r="AB11" i="8" s="1"/>
  <c r="O11" i="8"/>
  <c r="P11" i="8" s="1"/>
  <c r="V10" i="8"/>
  <c r="AB10" i="8" s="1"/>
  <c r="O10" i="8"/>
  <c r="P10" i="8" s="1"/>
  <c r="V9" i="8"/>
  <c r="AB9" i="8" s="1"/>
  <c r="O9" i="8"/>
  <c r="P9" i="8" s="1"/>
  <c r="V8" i="8"/>
  <c r="AB8" i="8" s="1"/>
  <c r="O8" i="8"/>
  <c r="P8" i="8" s="1"/>
  <c r="V7" i="8"/>
  <c r="AB7" i="8" s="1"/>
  <c r="O7" i="8"/>
  <c r="P7" i="8" s="1"/>
  <c r="N8" i="9"/>
  <c r="N9" i="9"/>
  <c r="N7" i="9"/>
  <c r="J10" i="9"/>
  <c r="N10" i="9" s="1"/>
  <c r="J11" i="9"/>
  <c r="N11" i="9" s="1"/>
  <c r="J12" i="9"/>
  <c r="N12" i="9" s="1"/>
  <c r="J13" i="9"/>
  <c r="N13" i="9" s="1"/>
  <c r="J14" i="9"/>
  <c r="N14" i="9" s="1"/>
  <c r="J15" i="9"/>
  <c r="N15" i="9" s="1"/>
  <c r="J16" i="9"/>
  <c r="N16" i="9" s="1"/>
  <c r="J17" i="9"/>
  <c r="N17" i="9" s="1"/>
  <c r="J9" i="9"/>
  <c r="J8" i="9"/>
  <c r="M88" i="3" l="1"/>
  <c r="M91" i="3"/>
  <c r="M85" i="3"/>
  <c r="M86" i="3"/>
  <c r="M87" i="3"/>
  <c r="M89" i="3"/>
  <c r="M90" i="3"/>
  <c r="M84" i="3"/>
  <c r="H7" i="8"/>
  <c r="I7" i="8" s="1"/>
  <c r="AF16" i="8"/>
  <c r="AF13" i="8"/>
  <c r="AF15" i="8"/>
  <c r="AF17" i="8"/>
  <c r="B8" i="8"/>
  <c r="H8" i="8" s="1"/>
  <c r="S7" i="8"/>
  <c r="X7" i="8" s="1"/>
  <c r="AF12" i="8"/>
  <c r="AF14" i="8"/>
  <c r="L8" i="8" l="1"/>
  <c r="I8" i="8"/>
  <c r="T7" i="8"/>
  <c r="Y7" i="8" s="1"/>
  <c r="B20" i="8" s="1"/>
  <c r="I40" i="3" s="1"/>
  <c r="D8" i="8"/>
  <c r="S8" i="8" s="1"/>
  <c r="X8" i="8" s="1"/>
  <c r="B9" i="8"/>
  <c r="H9" i="8" s="1"/>
  <c r="L9" i="8" l="1"/>
  <c r="I9" i="8"/>
  <c r="T8" i="8"/>
  <c r="Y8" i="8" s="1"/>
  <c r="B21" i="8" s="1"/>
  <c r="I41" i="3" s="1"/>
  <c r="B10" i="8"/>
  <c r="H10" i="8" s="1"/>
  <c r="D9" i="8"/>
  <c r="L10" i="8" l="1"/>
  <c r="L11" i="8" s="1"/>
  <c r="I10" i="8"/>
  <c r="T9" i="8"/>
  <c r="Y9" i="8" s="1"/>
  <c r="S9" i="8"/>
  <c r="X9" i="8" s="1"/>
  <c r="B11" i="8"/>
  <c r="H11" i="8" s="1"/>
  <c r="D10" i="8"/>
  <c r="B22" i="8" l="1"/>
  <c r="I42" i="3" s="1"/>
  <c r="I11" i="8"/>
  <c r="T10" i="8"/>
  <c r="Y10" i="8" s="1"/>
  <c r="S10" i="8"/>
  <c r="X10" i="8" s="1"/>
  <c r="D11" i="8"/>
  <c r="B12" i="8"/>
  <c r="H12" i="8" s="1"/>
  <c r="L12" i="8" l="1"/>
  <c r="I12" i="8"/>
  <c r="T11" i="8"/>
  <c r="Y11" i="8" s="1"/>
  <c r="B23" i="8"/>
  <c r="I43" i="3" s="1"/>
  <c r="D12" i="8"/>
  <c r="B13" i="8"/>
  <c r="H13" i="8" s="1"/>
  <c r="S11" i="8"/>
  <c r="X11" i="8" s="1"/>
  <c r="L13" i="8" l="1"/>
  <c r="L14" i="8" s="1"/>
  <c r="B24" i="8"/>
  <c r="I44" i="3" s="1"/>
  <c r="I13" i="8"/>
  <c r="T12" i="8"/>
  <c r="Y12" i="8" s="1"/>
  <c r="B14" i="8"/>
  <c r="H14" i="8" s="1"/>
  <c r="D13" i="8"/>
  <c r="S12" i="8"/>
  <c r="X12" i="8" s="1"/>
  <c r="D17" i="8"/>
  <c r="B25" i="8" l="1"/>
  <c r="I45" i="3" s="1"/>
  <c r="I14" i="8"/>
  <c r="T13" i="8"/>
  <c r="Y13" i="8" s="1"/>
  <c r="S13" i="8"/>
  <c r="X13" i="8" s="1"/>
  <c r="B15" i="8"/>
  <c r="H15" i="8" s="1"/>
  <c r="D14" i="8"/>
  <c r="X17" i="8"/>
  <c r="L15" i="8" l="1"/>
  <c r="B26" i="8"/>
  <c r="I46" i="3" s="1"/>
  <c r="I15" i="8"/>
  <c r="T14" i="8"/>
  <c r="Y14" i="8" s="1"/>
  <c r="S14" i="8"/>
  <c r="X14" i="8" s="1"/>
  <c r="B16" i="8"/>
  <c r="D15" i="8"/>
  <c r="L16" i="8" l="1"/>
  <c r="B27" i="8"/>
  <c r="I47" i="3" s="1"/>
  <c r="D16" i="8"/>
  <c r="S16" i="8" s="1"/>
  <c r="X16" i="8" s="1"/>
  <c r="H16" i="8"/>
  <c r="I16" i="8"/>
  <c r="T16" i="8" s="1"/>
  <c r="Y16" i="8" s="1"/>
  <c r="T15" i="8"/>
  <c r="Y15" i="8" s="1"/>
  <c r="S15" i="8"/>
  <c r="X15" i="8" s="1"/>
  <c r="B28" i="8" s="1"/>
  <c r="I48" i="3" s="1"/>
  <c r="B29" i="8" l="1"/>
  <c r="I49" i="3" s="1"/>
  <c r="E10" i="9"/>
  <c r="F10" i="9" s="1"/>
  <c r="E11" i="9"/>
  <c r="F11" i="9" s="1"/>
  <c r="E12" i="9"/>
  <c r="F12" i="9" s="1"/>
  <c r="E13" i="9"/>
  <c r="F13" i="9" s="1"/>
  <c r="E14" i="9"/>
  <c r="F14" i="9" s="1"/>
  <c r="E15" i="9"/>
  <c r="F15" i="9" s="1"/>
  <c r="E16" i="9"/>
  <c r="F16" i="9" s="1"/>
  <c r="E17" i="9"/>
  <c r="F17" i="9" s="1"/>
  <c r="E18" i="9"/>
  <c r="F18" i="9" s="1"/>
  <c r="E8" i="9"/>
  <c r="F8" i="9" s="1"/>
  <c r="E9" i="9"/>
  <c r="F9" i="9" s="1"/>
  <c r="E7" i="9"/>
  <c r="F7" i="9" s="1"/>
  <c r="I9" i="9"/>
  <c r="L9" i="9" s="1"/>
  <c r="M9" i="9" s="1"/>
  <c r="I10" i="9"/>
  <c r="L10" i="9" s="1"/>
  <c r="M10" i="9" s="1"/>
  <c r="I11" i="9"/>
  <c r="L11" i="9" s="1"/>
  <c r="M11" i="9" s="1"/>
  <c r="I12" i="9"/>
  <c r="L12" i="9" s="1"/>
  <c r="M12" i="9" s="1"/>
  <c r="I13" i="9"/>
  <c r="L13" i="9" s="1"/>
  <c r="M13" i="9" s="1"/>
  <c r="I14" i="9"/>
  <c r="L14" i="9" s="1"/>
  <c r="M14" i="9" s="1"/>
  <c r="I15" i="9"/>
  <c r="L15" i="9" s="1"/>
  <c r="M15" i="9" s="1"/>
  <c r="I16" i="9"/>
  <c r="L16" i="9" s="1"/>
  <c r="M16" i="9" s="1"/>
  <c r="I17" i="9"/>
  <c r="L17" i="9" s="1"/>
  <c r="M17" i="9" s="1"/>
  <c r="I8" i="9"/>
  <c r="L8" i="9" s="1"/>
  <c r="M8" i="9" s="1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4" i="12"/>
  <c r="F5" i="12"/>
  <c r="F6" i="12"/>
  <c r="F3" i="12"/>
  <c r="L7" i="9" l="1"/>
  <c r="M7" i="9" s="1"/>
  <c r="B21" i="9" s="1"/>
  <c r="B22" i="9" l="1"/>
  <c r="J40" i="3"/>
  <c r="J12" i="10"/>
  <c r="J13" i="10"/>
  <c r="J20" i="10"/>
  <c r="J21" i="10"/>
  <c r="J28" i="10"/>
  <c r="J29" i="10"/>
  <c r="H6" i="10"/>
  <c r="K6" i="10" s="1"/>
  <c r="H7" i="10"/>
  <c r="J7" i="10" s="1"/>
  <c r="H8" i="10"/>
  <c r="K8" i="10" s="1"/>
  <c r="H9" i="10"/>
  <c r="K9" i="10" s="1"/>
  <c r="H10" i="10"/>
  <c r="J10" i="10" s="1"/>
  <c r="H11" i="10"/>
  <c r="K11" i="10" s="1"/>
  <c r="H12" i="10"/>
  <c r="K12" i="10" s="1"/>
  <c r="H13" i="10"/>
  <c r="K13" i="10" s="1"/>
  <c r="H14" i="10"/>
  <c r="K14" i="10" s="1"/>
  <c r="H15" i="10"/>
  <c r="J15" i="10" s="1"/>
  <c r="H16" i="10"/>
  <c r="J16" i="10" s="1"/>
  <c r="H17" i="10"/>
  <c r="J17" i="10" s="1"/>
  <c r="H18" i="10"/>
  <c r="J18" i="10" s="1"/>
  <c r="H19" i="10"/>
  <c r="K19" i="10" s="1"/>
  <c r="H20" i="10"/>
  <c r="K20" i="10" s="1"/>
  <c r="H21" i="10"/>
  <c r="K21" i="10" s="1"/>
  <c r="H22" i="10"/>
  <c r="K22" i="10" s="1"/>
  <c r="H23" i="10"/>
  <c r="J23" i="10" s="1"/>
  <c r="H24" i="10"/>
  <c r="J24" i="10" s="1"/>
  <c r="H25" i="10"/>
  <c r="K25" i="10" s="1"/>
  <c r="H26" i="10"/>
  <c r="J26" i="10" s="1"/>
  <c r="H27" i="10"/>
  <c r="K27" i="10" s="1"/>
  <c r="H28" i="10"/>
  <c r="K28" i="10" s="1"/>
  <c r="H29" i="10"/>
  <c r="K29" i="10" s="1"/>
  <c r="H30" i="10"/>
  <c r="K30" i="10" s="1"/>
  <c r="H31" i="10"/>
  <c r="J31" i="10" s="1"/>
  <c r="H32" i="10"/>
  <c r="J32" i="10" s="1"/>
  <c r="H33" i="10"/>
  <c r="J33" i="10" s="1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B23" i="9" l="1"/>
  <c r="J41" i="3"/>
  <c r="K17" i="10"/>
  <c r="J30" i="10"/>
  <c r="J22" i="10"/>
  <c r="J14" i="10"/>
  <c r="J6" i="10"/>
  <c r="K26" i="10"/>
  <c r="K18" i="10"/>
  <c r="K10" i="10"/>
  <c r="K16" i="10"/>
  <c r="J27" i="10"/>
  <c r="J19" i="10"/>
  <c r="J11" i="10"/>
  <c r="K31" i="10"/>
  <c r="K23" i="10"/>
  <c r="K15" i="10"/>
  <c r="K7" i="10"/>
  <c r="K33" i="10"/>
  <c r="K24" i="10"/>
  <c r="J25" i="10"/>
  <c r="J9" i="10"/>
  <c r="K32" i="10"/>
  <c r="J8" i="10"/>
  <c r="H4" i="10"/>
  <c r="J4" i="10" s="1"/>
  <c r="H5" i="10"/>
  <c r="J5" i="10" s="1"/>
  <c r="B24" i="9" l="1"/>
  <c r="J42" i="3"/>
  <c r="K5" i="10"/>
  <c r="K4" i="10"/>
  <c r="B25" i="9" l="1"/>
  <c r="J43" i="3"/>
  <c r="E30" i="2"/>
  <c r="C30" i="2"/>
  <c r="B30" i="2"/>
  <c r="H23" i="2"/>
  <c r="L22" i="3"/>
  <c r="K22" i="3"/>
  <c r="T19" i="2"/>
  <c r="S19" i="2"/>
  <c r="S16" i="2"/>
  <c r="T11" i="2"/>
  <c r="S11" i="2"/>
  <c r="R11" i="2"/>
  <c r="S22" i="3"/>
  <c r="R22" i="3"/>
  <c r="B26" i="9" l="1"/>
  <c r="J44" i="3"/>
  <c r="J23" i="3"/>
  <c r="E34" i="3"/>
  <c r="Q22" i="3"/>
  <c r="P22" i="3"/>
  <c r="N22" i="3"/>
  <c r="M22" i="3"/>
  <c r="H23" i="3"/>
  <c r="H24" i="3" s="1"/>
  <c r="D23" i="3"/>
  <c r="U14" i="5"/>
  <c r="G17" i="3"/>
  <c r="G34" i="1"/>
  <c r="G35" i="1"/>
  <c r="G36" i="1"/>
  <c r="G37" i="1"/>
  <c r="G38" i="1"/>
  <c r="G39" i="1"/>
  <c r="G40" i="1"/>
  <c r="G41" i="1"/>
  <c r="G42" i="1"/>
  <c r="G43" i="1"/>
  <c r="G44" i="1"/>
  <c r="G33" i="1"/>
  <c r="L7" i="3"/>
  <c r="I23" i="3" s="1"/>
  <c r="F39" i="3" s="1"/>
  <c r="L8" i="3"/>
  <c r="L9" i="3"/>
  <c r="L10" i="3"/>
  <c r="L11" i="3"/>
  <c r="L12" i="3"/>
  <c r="L13" i="3"/>
  <c r="L14" i="3"/>
  <c r="L15" i="3"/>
  <c r="L16" i="3"/>
  <c r="L17" i="3"/>
  <c r="L6" i="3"/>
  <c r="G22" i="3"/>
  <c r="G38" i="3" s="1"/>
  <c r="C23" i="3"/>
  <c r="C39" i="3" l="1"/>
  <c r="E39" i="3"/>
  <c r="H25" i="3"/>
  <c r="D40" i="3"/>
  <c r="P23" i="3"/>
  <c r="D39" i="3"/>
  <c r="S23" i="3"/>
  <c r="O22" i="3"/>
  <c r="G23" i="3"/>
  <c r="B27" i="9"/>
  <c r="J45" i="3"/>
  <c r="I24" i="3"/>
  <c r="F40" i="3" s="1"/>
  <c r="Q23" i="3"/>
  <c r="C24" i="3"/>
  <c r="C40" i="3" s="1"/>
  <c r="D24" i="3"/>
  <c r="E40" i="3" s="1"/>
  <c r="J24" i="3"/>
  <c r="R23" i="3"/>
  <c r="P24" i="3" l="1"/>
  <c r="I25" i="3"/>
  <c r="F41" i="3" s="1"/>
  <c r="H26" i="3"/>
  <c r="D41" i="3"/>
  <c r="G24" i="3"/>
  <c r="G39" i="3"/>
  <c r="B28" i="9"/>
  <c r="J46" i="3"/>
  <c r="S24" i="3"/>
  <c r="R24" i="3"/>
  <c r="J25" i="3"/>
  <c r="D25" i="3"/>
  <c r="E41" i="3" s="1"/>
  <c r="C25" i="3"/>
  <c r="C41" i="3" s="1"/>
  <c r="I26" i="3"/>
  <c r="F42" i="3" s="1"/>
  <c r="Q24" i="3"/>
  <c r="G25" i="3" l="1"/>
  <c r="G40" i="3"/>
  <c r="H27" i="3"/>
  <c r="D42" i="3"/>
  <c r="B29" i="9"/>
  <c r="J47" i="3"/>
  <c r="J26" i="3"/>
  <c r="S25" i="3"/>
  <c r="R25" i="3"/>
  <c r="D26" i="3"/>
  <c r="E42" i="3" s="1"/>
  <c r="Q25" i="3"/>
  <c r="I27" i="3"/>
  <c r="F43" i="3" s="1"/>
  <c r="C26" i="3"/>
  <c r="C42" i="3" s="1"/>
  <c r="P25" i="3"/>
  <c r="T6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5" i="6"/>
  <c r="U16" i="6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U93" i="6" s="1"/>
  <c r="U94" i="6" s="1"/>
  <c r="U95" i="6" s="1"/>
  <c r="U96" i="6" s="1"/>
  <c r="U97" i="6" s="1"/>
  <c r="U98" i="6" s="1"/>
  <c r="U99" i="6" s="1"/>
  <c r="U100" i="6" s="1"/>
  <c r="U101" i="6" s="1"/>
  <c r="U102" i="6" s="1"/>
  <c r="U103" i="6" s="1"/>
  <c r="U104" i="6" s="1"/>
  <c r="U105" i="6" s="1"/>
  <c r="U106" i="6" s="1"/>
  <c r="U107" i="6" s="1"/>
  <c r="U108" i="6" s="1"/>
  <c r="U109" i="6" s="1"/>
  <c r="U110" i="6" s="1"/>
  <c r="U111" i="6" s="1"/>
  <c r="U112" i="6" s="1"/>
  <c r="U113" i="6" s="1"/>
  <c r="U114" i="6" s="1"/>
  <c r="U115" i="6" s="1"/>
  <c r="U116" i="6" s="1"/>
  <c r="U117" i="6" s="1"/>
  <c r="U118" i="6" s="1"/>
  <c r="U119" i="6" s="1"/>
  <c r="U120" i="6" s="1"/>
  <c r="U121" i="6" s="1"/>
  <c r="U122" i="6" s="1"/>
  <c r="U123" i="6" s="1"/>
  <c r="U124" i="6" s="1"/>
  <c r="U125" i="6" s="1"/>
  <c r="U126" i="6" s="1"/>
  <c r="U127" i="6" s="1"/>
  <c r="U128" i="6" s="1"/>
  <c r="U129" i="6" s="1"/>
  <c r="U130" i="6" s="1"/>
  <c r="U131" i="6" s="1"/>
  <c r="U132" i="6" s="1"/>
  <c r="U133" i="6" s="1"/>
  <c r="U134" i="6" s="1"/>
  <c r="U135" i="6" s="1"/>
  <c r="U136" i="6" s="1"/>
  <c r="U137" i="6" s="1"/>
  <c r="U138" i="6" s="1"/>
  <c r="U139" i="6" s="1"/>
  <c r="U140" i="6" s="1"/>
  <c r="U141" i="6" s="1"/>
  <c r="U142" i="6" s="1"/>
  <c r="U143" i="6" s="1"/>
  <c r="U144" i="6" s="1"/>
  <c r="U145" i="6" s="1"/>
  <c r="U146" i="6" s="1"/>
  <c r="U147" i="6" s="1"/>
  <c r="U148" i="6" s="1"/>
  <c r="U149" i="6" s="1"/>
  <c r="U150" i="6" s="1"/>
  <c r="U151" i="6" s="1"/>
  <c r="U152" i="6" s="1"/>
  <c r="U153" i="6" s="1"/>
  <c r="U154" i="6" s="1"/>
  <c r="U155" i="6" s="1"/>
  <c r="U156" i="6" s="1"/>
  <c r="U157" i="6" s="1"/>
  <c r="U158" i="6" s="1"/>
  <c r="U159" i="6" s="1"/>
  <c r="U160" i="6" s="1"/>
  <c r="U161" i="6" s="1"/>
  <c r="U162" i="6" s="1"/>
  <c r="U163" i="6" s="1"/>
  <c r="U164" i="6" s="1"/>
  <c r="U165" i="6" s="1"/>
  <c r="U166" i="6" s="1"/>
  <c r="U167" i="6" s="1"/>
  <c r="U168" i="6" s="1"/>
  <c r="U169" i="6" s="1"/>
  <c r="U170" i="6" s="1"/>
  <c r="U171" i="6" s="1"/>
  <c r="U172" i="6" s="1"/>
  <c r="U173" i="6" s="1"/>
  <c r="U174" i="6" s="1"/>
  <c r="U175" i="6" s="1"/>
  <c r="U176" i="6" s="1"/>
  <c r="U177" i="6" s="1"/>
  <c r="U178" i="6" s="1"/>
  <c r="U179" i="6" s="1"/>
  <c r="U180" i="6" s="1"/>
  <c r="U181" i="6" s="1"/>
  <c r="U182" i="6" s="1"/>
  <c r="U183" i="6" s="1"/>
  <c r="U184" i="6" s="1"/>
  <c r="U185" i="6" s="1"/>
  <c r="U186" i="6" s="1"/>
  <c r="U187" i="6" s="1"/>
  <c r="U188" i="6" s="1"/>
  <c r="U189" i="6" s="1"/>
  <c r="U190" i="6" s="1"/>
  <c r="U191" i="6" s="1"/>
  <c r="U192" i="6" s="1"/>
  <c r="U193" i="6" s="1"/>
  <c r="U194" i="6" s="1"/>
  <c r="U195" i="6" s="1"/>
  <c r="U196" i="6" s="1"/>
  <c r="U197" i="6" s="1"/>
  <c r="U198" i="6" s="1"/>
  <c r="U199" i="6" s="1"/>
  <c r="U200" i="6" s="1"/>
  <c r="U201" i="6" s="1"/>
  <c r="U202" i="6" s="1"/>
  <c r="U203" i="6" s="1"/>
  <c r="U204" i="6" s="1"/>
  <c r="U205" i="6" s="1"/>
  <c r="U206" i="6" s="1"/>
  <c r="U207" i="6" s="1"/>
  <c r="U208" i="6" s="1"/>
  <c r="U209" i="6" s="1"/>
  <c r="U210" i="6" s="1"/>
  <c r="U211" i="6" s="1"/>
  <c r="U212" i="6" s="1"/>
  <c r="U213" i="6" s="1"/>
  <c r="U214" i="6" s="1"/>
  <c r="U215" i="6" s="1"/>
  <c r="U216" i="6" s="1"/>
  <c r="U217" i="6" s="1"/>
  <c r="U218" i="6" s="1"/>
  <c r="U219" i="6" s="1"/>
  <c r="U220" i="6" s="1"/>
  <c r="U221" i="6" s="1"/>
  <c r="U222" i="6" s="1"/>
  <c r="U223" i="6" s="1"/>
  <c r="U224" i="6" s="1"/>
  <c r="U225" i="6" s="1"/>
  <c r="U226" i="6" s="1"/>
  <c r="U227" i="6" s="1"/>
  <c r="U228" i="6" s="1"/>
  <c r="U229" i="6" s="1"/>
  <c r="U15" i="6"/>
  <c r="U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14" i="6"/>
  <c r="T9" i="6"/>
  <c r="B54" i="2"/>
  <c r="B53" i="2"/>
  <c r="C51" i="2"/>
  <c r="D51" i="2"/>
  <c r="E51" i="2"/>
  <c r="B51" i="2"/>
  <c r="L4" i="1"/>
  <c r="L5" i="1"/>
  <c r="L6" i="1"/>
  <c r="L7" i="1"/>
  <c r="L8" i="1"/>
  <c r="L9" i="1"/>
  <c r="L10" i="1"/>
  <c r="L11" i="1"/>
  <c r="L12" i="1"/>
  <c r="L13" i="1"/>
  <c r="L14" i="1"/>
  <c r="L3" i="1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7" i="5"/>
  <c r="H7" i="5"/>
  <c r="H8" i="5"/>
  <c r="D4" i="1"/>
  <c r="D5" i="1"/>
  <c r="D6" i="1"/>
  <c r="D7" i="1"/>
  <c r="D8" i="1"/>
  <c r="D9" i="1"/>
  <c r="D10" i="1"/>
  <c r="D11" i="1"/>
  <c r="D12" i="1"/>
  <c r="D13" i="1"/>
  <c r="D14" i="1"/>
  <c r="D3" i="1"/>
  <c r="Q26" i="3" l="1"/>
  <c r="H28" i="3"/>
  <c r="D43" i="3"/>
  <c r="G26" i="3"/>
  <c r="G41" i="3"/>
  <c r="B30" i="9"/>
  <c r="J49" i="3" s="1"/>
  <c r="J48" i="3"/>
  <c r="P26" i="3"/>
  <c r="C27" i="3"/>
  <c r="C43" i="3" s="1"/>
  <c r="D27" i="3"/>
  <c r="E43" i="3" s="1"/>
  <c r="B24" i="3"/>
  <c r="M23" i="3"/>
  <c r="L23" i="3"/>
  <c r="O23" i="3"/>
  <c r="K23" i="3"/>
  <c r="N23" i="3"/>
  <c r="I28" i="3"/>
  <c r="F44" i="3" s="1"/>
  <c r="Q27" i="3"/>
  <c r="J27" i="3"/>
  <c r="S26" i="3"/>
  <c r="R26" i="3"/>
  <c r="B56" i="2"/>
  <c r="B39" i="3"/>
  <c r="H9" i="5"/>
  <c r="G27" i="3" l="1"/>
  <c r="G42" i="3"/>
  <c r="H29" i="3"/>
  <c r="D44" i="3"/>
  <c r="H39" i="3"/>
  <c r="I29" i="3"/>
  <c r="F45" i="3" s="1"/>
  <c r="B25" i="3"/>
  <c r="M24" i="3"/>
  <c r="O24" i="3"/>
  <c r="K24" i="3"/>
  <c r="L24" i="3"/>
  <c r="N24" i="3"/>
  <c r="B40" i="3"/>
  <c r="D28" i="3"/>
  <c r="E44" i="3" s="1"/>
  <c r="P27" i="3"/>
  <c r="C28" i="3"/>
  <c r="C44" i="3" s="1"/>
  <c r="J28" i="3"/>
  <c r="S27" i="3"/>
  <c r="R27" i="3"/>
  <c r="H10" i="5"/>
  <c r="H30" i="3" l="1"/>
  <c r="D45" i="3"/>
  <c r="G28" i="3"/>
  <c r="G43" i="3"/>
  <c r="H40" i="3"/>
  <c r="B26" i="3"/>
  <c r="M25" i="3"/>
  <c r="O25" i="3"/>
  <c r="N25" i="3"/>
  <c r="K25" i="3"/>
  <c r="L25" i="3"/>
  <c r="B41" i="3"/>
  <c r="J29" i="3"/>
  <c r="S28" i="3"/>
  <c r="R28" i="3"/>
  <c r="D29" i="3"/>
  <c r="E45" i="3" s="1"/>
  <c r="P28" i="3"/>
  <c r="C29" i="3"/>
  <c r="C45" i="3" s="1"/>
  <c r="Q28" i="3"/>
  <c r="I30" i="3"/>
  <c r="F46" i="3" s="1"/>
  <c r="H11" i="5"/>
  <c r="Q29" i="3" l="1"/>
  <c r="G29" i="3"/>
  <c r="G44" i="3"/>
  <c r="H31" i="3"/>
  <c r="D46" i="3"/>
  <c r="H41" i="3"/>
  <c r="I31" i="3"/>
  <c r="F47" i="3" s="1"/>
  <c r="B27" i="3"/>
  <c r="M26" i="3"/>
  <c r="O26" i="3"/>
  <c r="N26" i="3"/>
  <c r="K26" i="3"/>
  <c r="B42" i="3"/>
  <c r="L26" i="3"/>
  <c r="D30" i="3"/>
  <c r="P29" i="3"/>
  <c r="C30" i="3"/>
  <c r="C46" i="3" s="1"/>
  <c r="J30" i="3"/>
  <c r="S29" i="3"/>
  <c r="R29" i="3"/>
  <c r="H12" i="5"/>
  <c r="H32" i="3" l="1"/>
  <c r="D47" i="3"/>
  <c r="Q30" i="3"/>
  <c r="E46" i="3"/>
  <c r="G30" i="3"/>
  <c r="G45" i="3"/>
  <c r="H42" i="3"/>
  <c r="I32" i="3"/>
  <c r="F48" i="3" s="1"/>
  <c r="B28" i="3"/>
  <c r="M27" i="3"/>
  <c r="O27" i="3"/>
  <c r="N27" i="3"/>
  <c r="B43" i="3"/>
  <c r="L27" i="3"/>
  <c r="K27" i="3"/>
  <c r="D31" i="3"/>
  <c r="E47" i="3" s="1"/>
  <c r="J31" i="3"/>
  <c r="S30" i="3"/>
  <c r="R30" i="3"/>
  <c r="P30" i="3"/>
  <c r="C31" i="3"/>
  <c r="C47" i="3" s="1"/>
  <c r="H13" i="5"/>
  <c r="G31" i="3" l="1"/>
  <c r="G46" i="3"/>
  <c r="H33" i="3"/>
  <c r="D48" i="3"/>
  <c r="H43" i="3"/>
  <c r="P31" i="3"/>
  <c r="C32" i="3"/>
  <c r="C48" i="3" s="1"/>
  <c r="D32" i="3"/>
  <c r="E48" i="3" s="1"/>
  <c r="B29" i="3"/>
  <c r="M28" i="3"/>
  <c r="B44" i="3"/>
  <c r="O28" i="3"/>
  <c r="N28" i="3"/>
  <c r="K28" i="3"/>
  <c r="L28" i="3"/>
  <c r="Q31" i="3"/>
  <c r="I33" i="3"/>
  <c r="F49" i="3" s="1"/>
  <c r="F50" i="3" s="1"/>
  <c r="J32" i="3"/>
  <c r="S31" i="3"/>
  <c r="R31" i="3"/>
  <c r="H14" i="5"/>
  <c r="Q32" i="3" l="1"/>
  <c r="D49" i="3"/>
  <c r="D50" i="3" s="1"/>
  <c r="H34" i="3"/>
  <c r="G32" i="3"/>
  <c r="G47" i="3"/>
  <c r="H44" i="3"/>
  <c r="J33" i="3"/>
  <c r="S32" i="3"/>
  <c r="R32" i="3"/>
  <c r="I34" i="3"/>
  <c r="D33" i="3"/>
  <c r="E49" i="3" s="1"/>
  <c r="B30" i="3"/>
  <c r="M29" i="3"/>
  <c r="B45" i="3"/>
  <c r="O29" i="3"/>
  <c r="N29" i="3"/>
  <c r="L29" i="3"/>
  <c r="K29" i="3"/>
  <c r="P32" i="3"/>
  <c r="C33" i="3"/>
  <c r="C49" i="3" s="1"/>
  <c r="H15" i="5"/>
  <c r="G33" i="3" l="1"/>
  <c r="G49" i="3" s="1"/>
  <c r="G48" i="3"/>
  <c r="H45" i="3"/>
  <c r="D34" i="3"/>
  <c r="Q33" i="3"/>
  <c r="Q34" i="3" s="1"/>
  <c r="P33" i="3"/>
  <c r="P34" i="3" s="1"/>
  <c r="C34" i="3"/>
  <c r="B31" i="3"/>
  <c r="M30" i="3"/>
  <c r="B46" i="3"/>
  <c r="O30" i="3"/>
  <c r="N30" i="3"/>
  <c r="K30" i="3"/>
  <c r="L30" i="3"/>
  <c r="S33" i="3"/>
  <c r="S34" i="3" s="1"/>
  <c r="R33" i="3"/>
  <c r="R34" i="3" s="1"/>
  <c r="J34" i="3"/>
  <c r="H16" i="5"/>
  <c r="G34" i="3" l="1"/>
  <c r="H46" i="3"/>
  <c r="B32" i="3"/>
  <c r="M31" i="3"/>
  <c r="B47" i="3"/>
  <c r="O31" i="3"/>
  <c r="N31" i="3"/>
  <c r="K31" i="3"/>
  <c r="L31" i="3"/>
  <c r="H17" i="5"/>
  <c r="H47" i="3" l="1"/>
  <c r="B33" i="3"/>
  <c r="M32" i="3"/>
  <c r="B48" i="3"/>
  <c r="O32" i="3"/>
  <c r="N32" i="3"/>
  <c r="L32" i="3"/>
  <c r="K32" i="3"/>
  <c r="H18" i="5"/>
  <c r="H48" i="3" l="1"/>
  <c r="B49" i="3"/>
  <c r="M33" i="3"/>
  <c r="M34" i="3" s="1"/>
  <c r="B34" i="3"/>
  <c r="O33" i="3"/>
  <c r="O34" i="3" s="1"/>
  <c r="N33" i="3"/>
  <c r="N34" i="3" s="1"/>
  <c r="L33" i="3"/>
  <c r="L34" i="3" s="1"/>
  <c r="K33" i="3"/>
  <c r="K34" i="3" s="1"/>
  <c r="H19" i="5"/>
  <c r="H49" i="3" l="1"/>
  <c r="F34" i="3"/>
  <c r="H20" i="5"/>
  <c r="H21" i="5" l="1"/>
  <c r="H22" i="5" l="1"/>
  <c r="H23" i="5" l="1"/>
  <c r="H24" i="5" l="1"/>
  <c r="H25" i="5" l="1"/>
  <c r="J14" i="1" l="1"/>
  <c r="G14" i="1"/>
  <c r="K14" i="1" s="1"/>
  <c r="E36" i="1"/>
  <c r="E40" i="1"/>
  <c r="E44" i="1"/>
  <c r="D36" i="1"/>
  <c r="D37" i="1"/>
  <c r="E37" i="1" s="1"/>
  <c r="D38" i="1"/>
  <c r="E38" i="1" s="1"/>
  <c r="D39" i="1"/>
  <c r="E39" i="1" s="1"/>
  <c r="D40" i="1"/>
  <c r="D41" i="1"/>
  <c r="E41" i="1" s="1"/>
  <c r="D42" i="1"/>
  <c r="E42" i="1" s="1"/>
  <c r="D43" i="1"/>
  <c r="E43" i="1" s="1"/>
  <c r="D44" i="1"/>
  <c r="D34" i="1"/>
  <c r="E34" i="1" s="1"/>
  <c r="D35" i="1"/>
  <c r="E35" i="1" s="1"/>
  <c r="D33" i="1"/>
  <c r="E33" i="1" s="1"/>
  <c r="A545" i="1"/>
  <c r="B545" i="1"/>
  <c r="C545" i="1"/>
  <c r="D24" i="1"/>
  <c r="D25" i="1"/>
  <c r="D23" i="1"/>
  <c r="M14" i="1" l="1"/>
  <c r="G7" i="3"/>
  <c r="G8" i="3"/>
  <c r="G9" i="3"/>
  <c r="G10" i="3"/>
  <c r="G11" i="3"/>
  <c r="G12" i="3"/>
  <c r="G13" i="3"/>
  <c r="G14" i="3"/>
  <c r="G15" i="3"/>
  <c r="G16" i="3"/>
  <c r="G6" i="3"/>
  <c r="J4" i="1" l="1"/>
  <c r="J5" i="1"/>
  <c r="J6" i="1"/>
  <c r="J7" i="1"/>
  <c r="J8" i="1"/>
  <c r="J9" i="1"/>
  <c r="J10" i="1"/>
  <c r="J11" i="1"/>
  <c r="J12" i="1"/>
  <c r="J13" i="1"/>
  <c r="J3" i="1"/>
  <c r="D28" i="1"/>
  <c r="D27" i="1"/>
  <c r="D29" i="1"/>
  <c r="G9" i="1" l="1"/>
  <c r="K9" i="1" s="1"/>
  <c r="G10" i="1"/>
  <c r="K10" i="1" s="1"/>
  <c r="G11" i="1"/>
  <c r="K11" i="1" s="1"/>
  <c r="G12" i="1"/>
  <c r="K12" i="1" s="1"/>
  <c r="G13" i="1"/>
  <c r="K13" i="1" s="1"/>
  <c r="G8" i="1"/>
  <c r="K8" i="1" s="1"/>
  <c r="G7" i="1"/>
  <c r="G6" i="1"/>
  <c r="K6" i="1" s="1"/>
  <c r="G4" i="1"/>
  <c r="K4" i="1" s="1"/>
  <c r="G5" i="1"/>
  <c r="K5" i="1" s="1"/>
  <c r="G3" i="1"/>
  <c r="K3" i="1" s="1"/>
  <c r="M3" i="1" l="1"/>
  <c r="M9" i="1"/>
  <c r="M10" i="1"/>
  <c r="M4" i="1"/>
  <c r="M8" i="1"/>
  <c r="M13" i="1"/>
  <c r="M12" i="1"/>
  <c r="M5" i="1"/>
  <c r="K7" i="1"/>
  <c r="M7" i="1"/>
  <c r="M6" i="1"/>
  <c r="M11" i="1"/>
  <c r="D224" i="6"/>
  <c r="D225" i="6"/>
  <c r="D227" i="6"/>
  <c r="D228" i="6"/>
  <c r="D229" i="6"/>
  <c r="D230" i="6"/>
  <c r="D231" i="6"/>
  <c r="D232" i="6"/>
  <c r="D233" i="6"/>
  <c r="D234" i="6"/>
  <c r="D226" i="6"/>
  <c r="R2" i="6" l="1"/>
  <c r="R3" i="6" s="1"/>
  <c r="R4" i="6" s="1"/>
  <c r="R5" i="6" s="1"/>
  <c r="R6" i="6" s="1"/>
  <c r="R7" i="6" s="1"/>
  <c r="R8" i="6" s="1"/>
  <c r="R9" i="6" s="1"/>
  <c r="R10" i="6" s="1"/>
  <c r="R11" i="6" s="1"/>
  <c r="R12" i="6" s="1"/>
  <c r="R13" i="6" s="1"/>
  <c r="E48" i="10" l="1"/>
  <c r="F48" i="10" s="1"/>
  <c r="E47" i="10"/>
  <c r="F47" i="10" s="1"/>
  <c r="E46" i="10"/>
  <c r="F46" i="10" s="1"/>
  <c r="E45" i="10"/>
  <c r="F45" i="10" s="1"/>
  <c r="E44" i="10"/>
  <c r="F44" i="10" s="1"/>
  <c r="E43" i="10"/>
  <c r="F43" i="10" s="1"/>
  <c r="E42" i="10"/>
  <c r="F42" i="10" s="1"/>
  <c r="F41" i="10"/>
  <c r="E41" i="10"/>
  <c r="E40" i="10"/>
  <c r="F40" i="10" s="1"/>
  <c r="E39" i="10"/>
  <c r="F39" i="10" s="1"/>
  <c r="E38" i="10"/>
  <c r="F38" i="10" s="1"/>
  <c r="E37" i="10"/>
  <c r="F37" i="10" s="1"/>
  <c r="E36" i="10"/>
  <c r="F36" i="10" s="1"/>
  <c r="E35" i="10"/>
  <c r="F35" i="10" s="1"/>
  <c r="E34" i="10"/>
  <c r="F34" i="10" s="1"/>
  <c r="E33" i="10"/>
  <c r="F33" i="10" s="1"/>
  <c r="E32" i="10"/>
  <c r="F32" i="10" s="1"/>
  <c r="E31" i="10"/>
  <c r="F31" i="10" s="1"/>
  <c r="E30" i="10"/>
  <c r="F30" i="10" s="1"/>
  <c r="G30" i="10" s="1"/>
  <c r="E29" i="10"/>
  <c r="F29" i="10" s="1"/>
  <c r="E28" i="10"/>
  <c r="F28" i="10" s="1"/>
  <c r="F27" i="10"/>
  <c r="E27" i="10"/>
  <c r="E26" i="10"/>
  <c r="F26" i="10" s="1"/>
  <c r="E25" i="10"/>
  <c r="F25" i="10" s="1"/>
  <c r="E24" i="10"/>
  <c r="F24" i="10" s="1"/>
  <c r="E23" i="10"/>
  <c r="F23" i="10" s="1"/>
  <c r="E22" i="10"/>
  <c r="F22" i="10" s="1"/>
  <c r="E21" i="10"/>
  <c r="F21" i="10" s="1"/>
  <c r="E20" i="10"/>
  <c r="F20" i="10" s="1"/>
  <c r="G20" i="10" s="1"/>
  <c r="F19" i="10"/>
  <c r="E19" i="10"/>
  <c r="E18" i="10"/>
  <c r="F18" i="10" s="1"/>
  <c r="E17" i="10"/>
  <c r="F17" i="10" s="1"/>
  <c r="E16" i="10"/>
  <c r="F16" i="10" s="1"/>
  <c r="E15" i="10"/>
  <c r="F15" i="10" s="1"/>
  <c r="E14" i="10"/>
  <c r="F14" i="10" s="1"/>
  <c r="G14" i="10" s="1"/>
  <c r="E13" i="10"/>
  <c r="F13" i="10" s="1"/>
  <c r="G13" i="10" s="1"/>
  <c r="E12" i="10"/>
  <c r="F12" i="10" s="1"/>
  <c r="E11" i="10"/>
  <c r="F11" i="10" s="1"/>
  <c r="E10" i="10"/>
  <c r="F10" i="10" s="1"/>
  <c r="F9" i="10"/>
  <c r="E9" i="10"/>
  <c r="E8" i="10"/>
  <c r="F8" i="10" s="1"/>
  <c r="E7" i="10"/>
  <c r="F7" i="10" s="1"/>
  <c r="G7" i="10" s="1"/>
  <c r="E6" i="10"/>
  <c r="F6" i="10" s="1"/>
  <c r="E5" i="10"/>
  <c r="F5" i="10" s="1"/>
  <c r="E4" i="10"/>
  <c r="F4" i="10" s="1"/>
  <c r="K3" i="10"/>
  <c r="H3" i="10"/>
  <c r="J3" i="10" s="1"/>
  <c r="E3" i="10"/>
  <c r="F3" i="10" s="1"/>
  <c r="E2" i="10"/>
  <c r="F2" i="10" s="1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K240" i="6"/>
  <c r="M240" i="6" s="1"/>
  <c r="M239" i="6"/>
  <c r="K239" i="6"/>
  <c r="K238" i="6"/>
  <c r="M238" i="6" s="1"/>
  <c r="K237" i="6"/>
  <c r="M237" i="6" s="1"/>
  <c r="K236" i="6"/>
  <c r="M236" i="6" s="1"/>
  <c r="K235" i="6"/>
  <c r="M235" i="6" s="1"/>
  <c r="K234" i="6"/>
  <c r="M234" i="6" s="1"/>
  <c r="K233" i="6"/>
  <c r="M233" i="6" s="1"/>
  <c r="M232" i="6"/>
  <c r="K232" i="6"/>
  <c r="K231" i="6"/>
  <c r="M231" i="6" s="1"/>
  <c r="K230" i="6"/>
  <c r="M230" i="6" s="1"/>
  <c r="K229" i="6"/>
  <c r="M229" i="6" s="1"/>
  <c r="K228" i="6"/>
  <c r="M228" i="6" s="1"/>
  <c r="K227" i="6"/>
  <c r="M227" i="6" s="1"/>
  <c r="K226" i="6"/>
  <c r="M226" i="6" s="1"/>
  <c r="K225" i="6"/>
  <c r="M225" i="6" s="1"/>
  <c r="K224" i="6"/>
  <c r="M224" i="6" s="1"/>
  <c r="K223" i="6"/>
  <c r="M223" i="6" s="1"/>
  <c r="K222" i="6"/>
  <c r="M222" i="6" s="1"/>
  <c r="K221" i="6"/>
  <c r="M221" i="6" s="1"/>
  <c r="K220" i="6"/>
  <c r="M220" i="6" s="1"/>
  <c r="K219" i="6"/>
  <c r="M219" i="6" s="1"/>
  <c r="K218" i="6"/>
  <c r="M218" i="6" s="1"/>
  <c r="K217" i="6"/>
  <c r="M217" i="6" s="1"/>
  <c r="K216" i="6"/>
  <c r="M216" i="6" s="1"/>
  <c r="K215" i="6"/>
  <c r="M215" i="6" s="1"/>
  <c r="K214" i="6"/>
  <c r="M214" i="6" s="1"/>
  <c r="K213" i="6"/>
  <c r="M213" i="6" s="1"/>
  <c r="K212" i="6"/>
  <c r="M212" i="6" s="1"/>
  <c r="K211" i="6"/>
  <c r="M211" i="6" s="1"/>
  <c r="K210" i="6"/>
  <c r="M210" i="6" s="1"/>
  <c r="K209" i="6"/>
  <c r="M209" i="6" s="1"/>
  <c r="K208" i="6"/>
  <c r="M208" i="6" s="1"/>
  <c r="K207" i="6"/>
  <c r="M207" i="6" s="1"/>
  <c r="K206" i="6"/>
  <c r="M206" i="6" s="1"/>
  <c r="K205" i="6"/>
  <c r="M205" i="6" s="1"/>
  <c r="K204" i="6"/>
  <c r="M204" i="6" s="1"/>
  <c r="K203" i="6"/>
  <c r="M203" i="6" s="1"/>
  <c r="K202" i="6"/>
  <c r="M202" i="6" s="1"/>
  <c r="K201" i="6"/>
  <c r="M201" i="6" s="1"/>
  <c r="K200" i="6"/>
  <c r="M200" i="6" s="1"/>
  <c r="K199" i="6"/>
  <c r="M199" i="6" s="1"/>
  <c r="K198" i="6"/>
  <c r="M198" i="6" s="1"/>
  <c r="K197" i="6"/>
  <c r="M197" i="6" s="1"/>
  <c r="K196" i="6"/>
  <c r="M196" i="6" s="1"/>
  <c r="K195" i="6"/>
  <c r="M195" i="6" s="1"/>
  <c r="K194" i="6"/>
  <c r="M194" i="6" s="1"/>
  <c r="K193" i="6"/>
  <c r="M193" i="6" s="1"/>
  <c r="K192" i="6"/>
  <c r="M192" i="6" s="1"/>
  <c r="K191" i="6"/>
  <c r="M191" i="6" s="1"/>
  <c r="K190" i="6"/>
  <c r="M190" i="6" s="1"/>
  <c r="K189" i="6"/>
  <c r="M189" i="6" s="1"/>
  <c r="K188" i="6"/>
  <c r="M188" i="6" s="1"/>
  <c r="K187" i="6"/>
  <c r="M187" i="6" s="1"/>
  <c r="K186" i="6"/>
  <c r="M186" i="6" s="1"/>
  <c r="K185" i="6"/>
  <c r="M185" i="6" s="1"/>
  <c r="K184" i="6"/>
  <c r="M184" i="6" s="1"/>
  <c r="K183" i="6"/>
  <c r="M183" i="6" s="1"/>
  <c r="K182" i="6"/>
  <c r="M182" i="6" s="1"/>
  <c r="K181" i="6"/>
  <c r="M181" i="6" s="1"/>
  <c r="K180" i="6"/>
  <c r="M180" i="6" s="1"/>
  <c r="K179" i="6"/>
  <c r="M179" i="6" s="1"/>
  <c r="K178" i="6"/>
  <c r="M178" i="6" s="1"/>
  <c r="K177" i="6"/>
  <c r="M177" i="6" s="1"/>
  <c r="K176" i="6"/>
  <c r="M176" i="6" s="1"/>
  <c r="K175" i="6"/>
  <c r="M175" i="6" s="1"/>
  <c r="K174" i="6"/>
  <c r="M174" i="6" s="1"/>
  <c r="K173" i="6"/>
  <c r="M173" i="6" s="1"/>
  <c r="K172" i="6"/>
  <c r="M172" i="6" s="1"/>
  <c r="K171" i="6"/>
  <c r="M171" i="6" s="1"/>
  <c r="K170" i="6"/>
  <c r="M170" i="6" s="1"/>
  <c r="K169" i="6"/>
  <c r="M169" i="6" s="1"/>
  <c r="K168" i="6"/>
  <c r="M168" i="6" s="1"/>
  <c r="K167" i="6"/>
  <c r="M167" i="6" s="1"/>
  <c r="K166" i="6"/>
  <c r="M166" i="6" s="1"/>
  <c r="K165" i="6"/>
  <c r="M165" i="6" s="1"/>
  <c r="K164" i="6"/>
  <c r="M164" i="6" s="1"/>
  <c r="K163" i="6"/>
  <c r="M163" i="6" s="1"/>
  <c r="K162" i="6"/>
  <c r="M162" i="6" s="1"/>
  <c r="K161" i="6"/>
  <c r="M161" i="6" s="1"/>
  <c r="K160" i="6"/>
  <c r="M160" i="6" s="1"/>
  <c r="K159" i="6"/>
  <c r="M159" i="6" s="1"/>
  <c r="K158" i="6"/>
  <c r="M158" i="6" s="1"/>
  <c r="K157" i="6"/>
  <c r="M157" i="6" s="1"/>
  <c r="K156" i="6"/>
  <c r="M156" i="6" s="1"/>
  <c r="K155" i="6"/>
  <c r="M155" i="6" s="1"/>
  <c r="K154" i="6"/>
  <c r="M154" i="6" s="1"/>
  <c r="K153" i="6"/>
  <c r="M153" i="6" s="1"/>
  <c r="K152" i="6"/>
  <c r="M152" i="6" s="1"/>
  <c r="K151" i="6"/>
  <c r="M151" i="6" s="1"/>
  <c r="K150" i="6"/>
  <c r="M150" i="6" s="1"/>
  <c r="K149" i="6"/>
  <c r="M149" i="6" s="1"/>
  <c r="K148" i="6"/>
  <c r="M148" i="6" s="1"/>
  <c r="K147" i="6"/>
  <c r="M147" i="6" s="1"/>
  <c r="K146" i="6"/>
  <c r="M146" i="6" s="1"/>
  <c r="K145" i="6"/>
  <c r="M145" i="6" s="1"/>
  <c r="K144" i="6"/>
  <c r="M144" i="6" s="1"/>
  <c r="K143" i="6"/>
  <c r="M143" i="6" s="1"/>
  <c r="K142" i="6"/>
  <c r="M142" i="6" s="1"/>
  <c r="K141" i="6"/>
  <c r="M141" i="6" s="1"/>
  <c r="K140" i="6"/>
  <c r="M140" i="6" s="1"/>
  <c r="K139" i="6"/>
  <c r="M139" i="6" s="1"/>
  <c r="K138" i="6"/>
  <c r="M138" i="6" s="1"/>
  <c r="K137" i="6"/>
  <c r="M137" i="6" s="1"/>
  <c r="K136" i="6"/>
  <c r="M136" i="6" s="1"/>
  <c r="K135" i="6"/>
  <c r="M135" i="6" s="1"/>
  <c r="K134" i="6"/>
  <c r="M134" i="6" s="1"/>
  <c r="K133" i="6"/>
  <c r="M133" i="6" s="1"/>
  <c r="K132" i="6"/>
  <c r="M132" i="6" s="1"/>
  <c r="K131" i="6"/>
  <c r="M131" i="6" s="1"/>
  <c r="K130" i="6"/>
  <c r="M130" i="6" s="1"/>
  <c r="K129" i="6"/>
  <c r="M129" i="6" s="1"/>
  <c r="K128" i="6"/>
  <c r="M128" i="6" s="1"/>
  <c r="K127" i="6"/>
  <c r="M127" i="6" s="1"/>
  <c r="K126" i="6"/>
  <c r="M126" i="6" s="1"/>
  <c r="K125" i="6"/>
  <c r="M125" i="6" s="1"/>
  <c r="K124" i="6"/>
  <c r="M124" i="6" s="1"/>
  <c r="K123" i="6"/>
  <c r="M123" i="6" s="1"/>
  <c r="K122" i="6"/>
  <c r="M122" i="6" s="1"/>
  <c r="K121" i="6"/>
  <c r="M121" i="6" s="1"/>
  <c r="K120" i="6"/>
  <c r="M120" i="6" s="1"/>
  <c r="K119" i="6"/>
  <c r="M119" i="6" s="1"/>
  <c r="K118" i="6"/>
  <c r="M118" i="6" s="1"/>
  <c r="K117" i="6"/>
  <c r="M117" i="6" s="1"/>
  <c r="K116" i="6"/>
  <c r="M116" i="6" s="1"/>
  <c r="K115" i="6"/>
  <c r="M115" i="6" s="1"/>
  <c r="K114" i="6"/>
  <c r="M114" i="6" s="1"/>
  <c r="K113" i="6"/>
  <c r="M113" i="6" s="1"/>
  <c r="K112" i="6"/>
  <c r="M112" i="6" s="1"/>
  <c r="K111" i="6"/>
  <c r="M111" i="6" s="1"/>
  <c r="K110" i="6"/>
  <c r="M110" i="6" s="1"/>
  <c r="K109" i="6"/>
  <c r="M109" i="6" s="1"/>
  <c r="K108" i="6"/>
  <c r="M108" i="6" s="1"/>
  <c r="K107" i="6"/>
  <c r="M107" i="6" s="1"/>
  <c r="K106" i="6"/>
  <c r="M106" i="6" s="1"/>
  <c r="K105" i="6"/>
  <c r="M105" i="6" s="1"/>
  <c r="K104" i="6"/>
  <c r="M104" i="6" s="1"/>
  <c r="K103" i="6"/>
  <c r="M103" i="6" s="1"/>
  <c r="K102" i="6"/>
  <c r="M102" i="6" s="1"/>
  <c r="K101" i="6"/>
  <c r="M101" i="6" s="1"/>
  <c r="K100" i="6"/>
  <c r="M100" i="6" s="1"/>
  <c r="K99" i="6"/>
  <c r="M99" i="6" s="1"/>
  <c r="K98" i="6"/>
  <c r="M98" i="6" s="1"/>
  <c r="K97" i="6"/>
  <c r="M97" i="6" s="1"/>
  <c r="K96" i="6"/>
  <c r="M96" i="6" s="1"/>
  <c r="K95" i="6"/>
  <c r="M95" i="6" s="1"/>
  <c r="K94" i="6"/>
  <c r="M94" i="6" s="1"/>
  <c r="K93" i="6"/>
  <c r="M93" i="6" s="1"/>
  <c r="K92" i="6"/>
  <c r="M92" i="6" s="1"/>
  <c r="K91" i="6"/>
  <c r="M91" i="6" s="1"/>
  <c r="K90" i="6"/>
  <c r="M90" i="6" s="1"/>
  <c r="K89" i="6"/>
  <c r="M89" i="6" s="1"/>
  <c r="K88" i="6"/>
  <c r="M88" i="6" s="1"/>
  <c r="K87" i="6"/>
  <c r="M87" i="6" s="1"/>
  <c r="K86" i="6"/>
  <c r="M86" i="6" s="1"/>
  <c r="K85" i="6"/>
  <c r="M85" i="6" s="1"/>
  <c r="K84" i="6"/>
  <c r="M84" i="6" s="1"/>
  <c r="K83" i="6"/>
  <c r="M83" i="6" s="1"/>
  <c r="K82" i="6"/>
  <c r="M82" i="6" s="1"/>
  <c r="K81" i="6"/>
  <c r="M81" i="6" s="1"/>
  <c r="K80" i="6"/>
  <c r="M80" i="6" s="1"/>
  <c r="K79" i="6"/>
  <c r="M79" i="6" s="1"/>
  <c r="K78" i="6"/>
  <c r="M78" i="6" s="1"/>
  <c r="K77" i="6"/>
  <c r="M77" i="6" s="1"/>
  <c r="K76" i="6"/>
  <c r="M76" i="6" s="1"/>
  <c r="K75" i="6"/>
  <c r="M75" i="6" s="1"/>
  <c r="K74" i="6"/>
  <c r="M74" i="6" s="1"/>
  <c r="K73" i="6"/>
  <c r="M73" i="6" s="1"/>
  <c r="K72" i="6"/>
  <c r="M72" i="6" s="1"/>
  <c r="K71" i="6"/>
  <c r="M71" i="6" s="1"/>
  <c r="K70" i="6"/>
  <c r="M70" i="6" s="1"/>
  <c r="K69" i="6"/>
  <c r="M69" i="6" s="1"/>
  <c r="K68" i="6"/>
  <c r="M68" i="6" s="1"/>
  <c r="K67" i="6"/>
  <c r="M67" i="6" s="1"/>
  <c r="K66" i="6"/>
  <c r="M66" i="6" s="1"/>
  <c r="K65" i="6"/>
  <c r="M65" i="6" s="1"/>
  <c r="K64" i="6"/>
  <c r="M64" i="6" s="1"/>
  <c r="K63" i="6"/>
  <c r="M63" i="6" s="1"/>
  <c r="K62" i="6"/>
  <c r="M62" i="6" s="1"/>
  <c r="K61" i="6"/>
  <c r="M61" i="6" s="1"/>
  <c r="K60" i="6"/>
  <c r="M60" i="6" s="1"/>
  <c r="K59" i="6"/>
  <c r="M59" i="6" s="1"/>
  <c r="K58" i="6"/>
  <c r="M58" i="6" s="1"/>
  <c r="K57" i="6"/>
  <c r="M57" i="6" s="1"/>
  <c r="K56" i="6"/>
  <c r="M56" i="6" s="1"/>
  <c r="K55" i="6"/>
  <c r="M55" i="6" s="1"/>
  <c r="K54" i="6"/>
  <c r="M54" i="6" s="1"/>
  <c r="K53" i="6"/>
  <c r="M53" i="6" s="1"/>
  <c r="K52" i="6"/>
  <c r="M52" i="6" s="1"/>
  <c r="K51" i="6"/>
  <c r="M51" i="6" s="1"/>
  <c r="K50" i="6"/>
  <c r="M50" i="6" s="1"/>
  <c r="K49" i="6"/>
  <c r="M49" i="6" s="1"/>
  <c r="K48" i="6"/>
  <c r="M48" i="6" s="1"/>
  <c r="K47" i="6"/>
  <c r="M47" i="6" s="1"/>
  <c r="K46" i="6"/>
  <c r="M46" i="6" s="1"/>
  <c r="K45" i="6"/>
  <c r="M45" i="6" s="1"/>
  <c r="K44" i="6"/>
  <c r="M44" i="6" s="1"/>
  <c r="K43" i="6"/>
  <c r="M43" i="6" s="1"/>
  <c r="K42" i="6"/>
  <c r="M42" i="6" s="1"/>
  <c r="K41" i="6"/>
  <c r="M41" i="6" s="1"/>
  <c r="K40" i="6"/>
  <c r="M40" i="6" s="1"/>
  <c r="K39" i="6"/>
  <c r="M39" i="6" s="1"/>
  <c r="K38" i="6"/>
  <c r="M38" i="6" s="1"/>
  <c r="K37" i="6"/>
  <c r="M37" i="6" s="1"/>
  <c r="K36" i="6"/>
  <c r="M36" i="6" s="1"/>
  <c r="K35" i="6"/>
  <c r="M35" i="6" s="1"/>
  <c r="K34" i="6"/>
  <c r="M34" i="6" s="1"/>
  <c r="K33" i="6"/>
  <c r="M33" i="6" s="1"/>
  <c r="K32" i="6"/>
  <c r="M32" i="6" s="1"/>
  <c r="K31" i="6"/>
  <c r="M31" i="6" s="1"/>
  <c r="K30" i="6"/>
  <c r="M30" i="6" s="1"/>
  <c r="K29" i="6"/>
  <c r="M29" i="6" s="1"/>
  <c r="K28" i="6"/>
  <c r="M28" i="6" s="1"/>
  <c r="K27" i="6"/>
  <c r="M27" i="6" s="1"/>
  <c r="K26" i="6"/>
  <c r="M26" i="6" s="1"/>
  <c r="K25" i="6"/>
  <c r="M25" i="6" s="1"/>
  <c r="K24" i="6"/>
  <c r="M24" i="6" s="1"/>
  <c r="K23" i="6"/>
  <c r="M23" i="6" s="1"/>
  <c r="K22" i="6"/>
  <c r="M22" i="6" s="1"/>
  <c r="K21" i="6"/>
  <c r="M21" i="6" s="1"/>
  <c r="K20" i="6"/>
  <c r="M20" i="6" s="1"/>
  <c r="K19" i="6"/>
  <c r="M19" i="6" s="1"/>
  <c r="K18" i="6"/>
  <c r="M18" i="6" s="1"/>
  <c r="K17" i="6"/>
  <c r="M17" i="6" s="1"/>
  <c r="K16" i="6"/>
  <c r="M16" i="6" s="1"/>
  <c r="K15" i="6"/>
  <c r="M15" i="6" s="1"/>
  <c r="Q14" i="6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K14" i="6"/>
  <c r="M14" i="6" s="1"/>
  <c r="K13" i="6"/>
  <c r="M13" i="6" s="1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G43" i="10" l="1"/>
  <c r="G16" i="10"/>
  <c r="G11" i="10"/>
  <c r="G25" i="10"/>
  <c r="G39" i="10"/>
  <c r="G9" i="10"/>
  <c r="G32" i="10"/>
  <c r="G33" i="10"/>
  <c r="G28" i="10"/>
  <c r="G6" i="10"/>
  <c r="G34" i="10"/>
  <c r="G40" i="10"/>
  <c r="G3" i="10"/>
  <c r="G24" i="10"/>
  <c r="G8" i="10"/>
  <c r="G38" i="10"/>
  <c r="I4" i="7"/>
  <c r="G44" i="10"/>
  <c r="G21" i="10"/>
  <c r="G45" i="10"/>
  <c r="G26" i="10"/>
  <c r="G12" i="10"/>
  <c r="G36" i="10"/>
  <c r="G17" i="10"/>
  <c r="G41" i="10"/>
  <c r="R25" i="6"/>
  <c r="Q26" i="6"/>
  <c r="C14" i="6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D13" i="6"/>
  <c r="I5" i="7"/>
  <c r="G22" i="10"/>
  <c r="G31" i="10"/>
  <c r="G35" i="10"/>
  <c r="G46" i="10"/>
  <c r="G4" i="10"/>
  <c r="G5" i="10"/>
  <c r="G18" i="10"/>
  <c r="G23" i="10"/>
  <c r="G27" i="10"/>
  <c r="G37" i="10"/>
  <c r="G47" i="10"/>
  <c r="G10" i="10"/>
  <c r="G15" i="10"/>
  <c r="G19" i="10"/>
  <c r="G29" i="10"/>
  <c r="G42" i="10"/>
  <c r="G48" i="10"/>
  <c r="F240" i="7" l="1"/>
  <c r="F236" i="7"/>
  <c r="F232" i="7"/>
  <c r="F228" i="7"/>
  <c r="F224" i="7"/>
  <c r="F220" i="7"/>
  <c r="F216" i="7"/>
  <c r="F212" i="7"/>
  <c r="F208" i="7"/>
  <c r="F204" i="7"/>
  <c r="F200" i="7"/>
  <c r="F196" i="7"/>
  <c r="F192" i="7"/>
  <c r="F188" i="7"/>
  <c r="F184" i="7"/>
  <c r="F180" i="7"/>
  <c r="F176" i="7"/>
  <c r="F172" i="7"/>
  <c r="F168" i="7"/>
  <c r="F164" i="7"/>
  <c r="F160" i="7"/>
  <c r="F156" i="7"/>
  <c r="F152" i="7"/>
  <c r="F148" i="7"/>
  <c r="F144" i="7"/>
  <c r="F140" i="7"/>
  <c r="F136" i="7"/>
  <c r="F132" i="7"/>
  <c r="F128" i="7"/>
  <c r="F124" i="7"/>
  <c r="F120" i="7"/>
  <c r="F116" i="7"/>
  <c r="F112" i="7"/>
  <c r="F108" i="7"/>
  <c r="F104" i="7"/>
  <c r="F100" i="7"/>
  <c r="F96" i="7"/>
  <c r="F92" i="7"/>
  <c r="F88" i="7"/>
  <c r="F84" i="7"/>
  <c r="F80" i="7"/>
  <c r="F76" i="7"/>
  <c r="F72" i="7"/>
  <c r="F68" i="7"/>
  <c r="F64" i="7"/>
  <c r="F60" i="7"/>
  <c r="F56" i="7"/>
  <c r="F52" i="7"/>
  <c r="F48" i="7"/>
  <c r="F44" i="7"/>
  <c r="F40" i="7"/>
  <c r="F36" i="7"/>
  <c r="F32" i="7"/>
  <c r="F28" i="7"/>
  <c r="F24" i="7"/>
  <c r="F238" i="7"/>
  <c r="F234" i="7"/>
  <c r="F230" i="7"/>
  <c r="F226" i="7"/>
  <c r="F222" i="7"/>
  <c r="F218" i="7"/>
  <c r="F214" i="7"/>
  <c r="F210" i="7"/>
  <c r="F206" i="7"/>
  <c r="F202" i="7"/>
  <c r="F198" i="7"/>
  <c r="F194" i="7"/>
  <c r="F190" i="7"/>
  <c r="F186" i="7"/>
  <c r="F182" i="7"/>
  <c r="F178" i="7"/>
  <c r="F174" i="7"/>
  <c r="F170" i="7"/>
  <c r="F166" i="7"/>
  <c r="F162" i="7"/>
  <c r="F158" i="7"/>
  <c r="F154" i="7"/>
  <c r="F150" i="7"/>
  <c r="F146" i="7"/>
  <c r="F142" i="7"/>
  <c r="F138" i="7"/>
  <c r="F237" i="7"/>
  <c r="F221" i="7"/>
  <c r="F205" i="7"/>
  <c r="F189" i="7"/>
  <c r="F173" i="7"/>
  <c r="F157" i="7"/>
  <c r="F141" i="7"/>
  <c r="F131" i="7"/>
  <c r="F122" i="7"/>
  <c r="F113" i="7"/>
  <c r="F99" i="7"/>
  <c r="F90" i="7"/>
  <c r="F81" i="7"/>
  <c r="F67" i="7"/>
  <c r="F58" i="7"/>
  <c r="F49" i="7"/>
  <c r="F35" i="7"/>
  <c r="F26" i="7"/>
  <c r="F231" i="7"/>
  <c r="F215" i="7"/>
  <c r="F199" i="7"/>
  <c r="F183" i="7"/>
  <c r="F167" i="7"/>
  <c r="F151" i="7"/>
  <c r="F135" i="7"/>
  <c r="F126" i="7"/>
  <c r="F117" i="7"/>
  <c r="F103" i="7"/>
  <c r="F94" i="7"/>
  <c r="F85" i="7"/>
  <c r="F71" i="7"/>
  <c r="F62" i="7"/>
  <c r="F53" i="7"/>
  <c r="F39" i="7"/>
  <c r="F30" i="7"/>
  <c r="F21" i="7"/>
  <c r="F17" i="7"/>
  <c r="F13" i="7"/>
  <c r="F225" i="7"/>
  <c r="F209" i="7"/>
  <c r="F193" i="7"/>
  <c r="F177" i="7"/>
  <c r="F161" i="7"/>
  <c r="F145" i="7"/>
  <c r="F130" i="7"/>
  <c r="F121" i="7"/>
  <c r="F107" i="7"/>
  <c r="F98" i="7"/>
  <c r="F89" i="7"/>
  <c r="F75" i="7"/>
  <c r="F66" i="7"/>
  <c r="F57" i="7"/>
  <c r="F43" i="7"/>
  <c r="F34" i="7"/>
  <c r="F25" i="7"/>
  <c r="F187" i="7"/>
  <c r="F181" i="7"/>
  <c r="F175" i="7"/>
  <c r="F169" i="7"/>
  <c r="F163" i="7"/>
  <c r="F133" i="7"/>
  <c r="F127" i="7"/>
  <c r="F83" i="7"/>
  <c r="F78" i="7"/>
  <c r="F73" i="7"/>
  <c r="F29" i="7"/>
  <c r="F23" i="7"/>
  <c r="F14" i="7"/>
  <c r="F235" i="7"/>
  <c r="F229" i="7"/>
  <c r="F223" i="7"/>
  <c r="F217" i="7"/>
  <c r="F211" i="7"/>
  <c r="F115" i="7"/>
  <c r="F110" i="7"/>
  <c r="F105" i="7"/>
  <c r="F61" i="7"/>
  <c r="F55" i="7"/>
  <c r="F50" i="7"/>
  <c r="F45" i="7"/>
  <c r="F18" i="7"/>
  <c r="F155" i="7"/>
  <c r="F149" i="7"/>
  <c r="F143" i="7"/>
  <c r="F137" i="7"/>
  <c r="F93" i="7"/>
  <c r="F87" i="7"/>
  <c r="F82" i="7"/>
  <c r="F77" i="7"/>
  <c r="F33" i="7"/>
  <c r="F22" i="7"/>
  <c r="F203" i="7"/>
  <c r="F197" i="7"/>
  <c r="F191" i="7"/>
  <c r="F185" i="7"/>
  <c r="F179" i="7"/>
  <c r="F125" i="7"/>
  <c r="F119" i="7"/>
  <c r="F114" i="7"/>
  <c r="F109" i="7"/>
  <c r="F65" i="7"/>
  <c r="F54" i="7"/>
  <c r="F38" i="7"/>
  <c r="F27" i="7"/>
  <c r="F171" i="7"/>
  <c r="F165" i="7"/>
  <c r="F159" i="7"/>
  <c r="F153" i="7"/>
  <c r="F147" i="7"/>
  <c r="F129" i="7"/>
  <c r="F118" i="7"/>
  <c r="F102" i="7"/>
  <c r="F91" i="7"/>
  <c r="F47" i="7"/>
  <c r="F42" i="7"/>
  <c r="F37" i="7"/>
  <c r="F31" i="7"/>
  <c r="F20" i="7"/>
  <c r="F201" i="7"/>
  <c r="F139" i="7"/>
  <c r="F97" i="7"/>
  <c r="F70" i="7"/>
  <c r="F15" i="7"/>
  <c r="F207" i="7"/>
  <c r="F63" i="7"/>
  <c r="F227" i="7"/>
  <c r="F213" i="7"/>
  <c r="F123" i="7"/>
  <c r="F69" i="7"/>
  <c r="F19" i="7"/>
  <c r="F233" i="7"/>
  <c r="F219" i="7"/>
  <c r="F101" i="7"/>
  <c r="F95" i="7"/>
  <c r="F74" i="7"/>
  <c r="F41" i="7"/>
  <c r="F239" i="7"/>
  <c r="F106" i="7"/>
  <c r="F86" i="7"/>
  <c r="F79" i="7"/>
  <c r="F46" i="7"/>
  <c r="F134" i="7"/>
  <c r="F59" i="7"/>
  <c r="F16" i="7"/>
  <c r="F195" i="7"/>
  <c r="F111" i="7"/>
  <c r="F51" i="7"/>
  <c r="C26" i="6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D25" i="6"/>
  <c r="Q27" i="6"/>
  <c r="R26" i="6"/>
  <c r="D37" i="6" l="1"/>
  <c r="C38" i="6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R27" i="6"/>
  <c r="Q28" i="6"/>
  <c r="R28" i="6" l="1"/>
  <c r="Q29" i="6"/>
  <c r="D49" i="6"/>
  <c r="C50" i="6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l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D61" i="6"/>
  <c r="Q30" i="6"/>
  <c r="R29" i="6"/>
  <c r="R30" i="6" l="1"/>
  <c r="Q31" i="6"/>
  <c r="D73" i="6"/>
  <c r="C74" i="6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l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D85" i="6"/>
  <c r="Q32" i="6"/>
  <c r="R31" i="6"/>
  <c r="Q33" i="6" l="1"/>
  <c r="R32" i="6"/>
  <c r="C98" i="6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D97" i="6"/>
  <c r="D109" i="6" l="1"/>
  <c r="C110" i="6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R33" i="6"/>
  <c r="Q34" i="6"/>
  <c r="Q35" i="6" l="1"/>
  <c r="R34" i="6"/>
  <c r="D121" i="6"/>
  <c r="C122" i="6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l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D133" i="6"/>
  <c r="R35" i="6"/>
  <c r="Q36" i="6"/>
  <c r="R36" i="6" l="1"/>
  <c r="Q37" i="6"/>
  <c r="C146" i="6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D145" i="6"/>
  <c r="D157" i="6" l="1"/>
  <c r="C158" i="6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Q38" i="6"/>
  <c r="R37" i="6"/>
  <c r="R38" i="6" l="1"/>
  <c r="Q39" i="6"/>
  <c r="C170" i="6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D169" i="6"/>
  <c r="D181" i="6" l="1"/>
  <c r="C182" i="6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R39" i="6"/>
  <c r="Q40" i="6"/>
  <c r="Q41" i="6" l="1"/>
  <c r="R40" i="6"/>
  <c r="C194" i="6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D193" i="6"/>
  <c r="C206" i="6" l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D205" i="6"/>
  <c r="R41" i="6"/>
  <c r="Q42" i="6"/>
  <c r="Q43" i="6" l="1"/>
  <c r="R42" i="6"/>
  <c r="D217" i="6"/>
  <c r="C218" i="6"/>
  <c r="C219" i="6" s="1"/>
  <c r="Q44" i="6" l="1"/>
  <c r="R43" i="6"/>
  <c r="R44" i="6" l="1"/>
  <c r="Q45" i="6"/>
  <c r="Q46" i="6" l="1"/>
  <c r="R45" i="6"/>
  <c r="R46" i="6" l="1"/>
  <c r="Q47" i="6"/>
  <c r="R47" i="6" l="1"/>
  <c r="Q48" i="6"/>
  <c r="Q49" i="6" l="1"/>
  <c r="R48" i="6"/>
  <c r="R49" i="6" l="1"/>
  <c r="Q50" i="6"/>
  <c r="R50" i="6" l="1"/>
  <c r="Q51" i="6"/>
  <c r="Q52" i="6" l="1"/>
  <c r="R51" i="6"/>
  <c r="R52" i="6" l="1"/>
  <c r="Q53" i="6"/>
  <c r="Q54" i="6" l="1"/>
  <c r="R53" i="6"/>
  <c r="Q55" i="6" l="1"/>
  <c r="R54" i="6"/>
  <c r="R55" i="6" l="1"/>
  <c r="Q56" i="6"/>
  <c r="Q57" i="6" l="1"/>
  <c r="R56" i="6"/>
  <c r="R57" i="6" l="1"/>
  <c r="Q58" i="6"/>
  <c r="Q59" i="6" l="1"/>
  <c r="R58" i="6"/>
  <c r="Q60" i="6" l="1"/>
  <c r="R59" i="6"/>
  <c r="R60" i="6" l="1"/>
  <c r="Q61" i="6"/>
  <c r="R61" i="6" l="1"/>
  <c r="Q62" i="6"/>
  <c r="Q63" i="6" l="1"/>
  <c r="R62" i="6"/>
  <c r="R63" i="6" l="1"/>
  <c r="Q64" i="6"/>
  <c r="Q65" i="6" l="1"/>
  <c r="R64" i="6"/>
  <c r="Q66" i="6" l="1"/>
  <c r="R65" i="6"/>
  <c r="R66" i="6" l="1"/>
  <c r="Q67" i="6"/>
  <c r="Q68" i="6" l="1"/>
  <c r="R67" i="6"/>
  <c r="R68" i="6" l="1"/>
  <c r="Q69" i="6"/>
  <c r="R69" i="6" l="1"/>
  <c r="Q70" i="6"/>
  <c r="Q71" i="6" l="1"/>
  <c r="R70" i="6"/>
  <c r="Q72" i="6" l="1"/>
  <c r="R71" i="6"/>
  <c r="R72" i="6" l="1"/>
  <c r="Q73" i="6"/>
  <c r="Q74" i="6" l="1"/>
  <c r="R73" i="6"/>
  <c r="R74" i="6" l="1"/>
  <c r="Q75" i="6"/>
  <c r="Q76" i="6" l="1"/>
  <c r="R75" i="6"/>
  <c r="Q77" i="6" l="1"/>
  <c r="R76" i="6"/>
  <c r="R77" i="6" l="1"/>
  <c r="Q78" i="6"/>
  <c r="R78" i="6" l="1"/>
  <c r="Q79" i="6"/>
  <c r="Q80" i="6" l="1"/>
  <c r="R79" i="6"/>
  <c r="R80" i="6" l="1"/>
  <c r="Q81" i="6"/>
  <c r="Q82" i="6" l="1"/>
  <c r="R81" i="6"/>
  <c r="R82" i="6" l="1"/>
  <c r="Q83" i="6"/>
  <c r="Q84" i="6" l="1"/>
  <c r="R83" i="6"/>
  <c r="Q85" i="6" l="1"/>
  <c r="R84" i="6"/>
  <c r="Q86" i="6" l="1"/>
  <c r="R85" i="6"/>
  <c r="R86" i="6" l="1"/>
  <c r="Q87" i="6"/>
  <c r="Q88" i="6" l="1"/>
  <c r="R87" i="6"/>
  <c r="R88" i="6" l="1"/>
  <c r="Q89" i="6"/>
  <c r="Q90" i="6" l="1"/>
  <c r="R89" i="6"/>
  <c r="Q91" i="6" l="1"/>
  <c r="R90" i="6"/>
  <c r="R91" i="6" l="1"/>
  <c r="Q92" i="6"/>
  <c r="Q93" i="6" l="1"/>
  <c r="R92" i="6"/>
  <c r="Q94" i="6" l="1"/>
  <c r="R93" i="6"/>
  <c r="Q95" i="6" l="1"/>
  <c r="R94" i="6"/>
  <c r="Q96" i="6" l="1"/>
  <c r="R95" i="6"/>
  <c r="R96" i="6" l="1"/>
  <c r="Q97" i="6"/>
  <c r="R97" i="6" l="1"/>
  <c r="Q98" i="6"/>
  <c r="Q99" i="6" l="1"/>
  <c r="R98" i="6"/>
  <c r="R99" i="6" l="1"/>
  <c r="Q100" i="6"/>
  <c r="Q101" i="6" l="1"/>
  <c r="R100" i="6"/>
  <c r="R101" i="6" l="1"/>
  <c r="Q102" i="6"/>
  <c r="R102" i="6" l="1"/>
  <c r="Q103" i="6"/>
  <c r="Q104" i="6" l="1"/>
  <c r="R103" i="6"/>
  <c r="R104" i="6" l="1"/>
  <c r="Q105" i="6"/>
  <c r="Q106" i="6" l="1"/>
  <c r="R105" i="6"/>
  <c r="Q107" i="6" l="1"/>
  <c r="R106" i="6"/>
  <c r="R107" i="6" l="1"/>
  <c r="Q108" i="6"/>
  <c r="R108" i="6" l="1"/>
  <c r="Q109" i="6"/>
  <c r="Q110" i="6" l="1"/>
  <c r="R109" i="6"/>
  <c r="R110" i="6" l="1"/>
  <c r="Q111" i="6"/>
  <c r="Q112" i="6" l="1"/>
  <c r="R111" i="6"/>
  <c r="R112" i="6" l="1"/>
  <c r="Q113" i="6"/>
  <c r="R113" i="6" l="1"/>
  <c r="Q114" i="6"/>
  <c r="R114" i="6" l="1"/>
  <c r="Q115" i="6"/>
  <c r="R115" i="6" l="1"/>
  <c r="Q116" i="6"/>
  <c r="Q117" i="6" l="1"/>
  <c r="R116" i="6"/>
  <c r="R117" i="6" l="1"/>
  <c r="Q118" i="6"/>
  <c r="Q119" i="6" l="1"/>
  <c r="R118" i="6"/>
  <c r="R119" i="6" l="1"/>
  <c r="Q120" i="6"/>
  <c r="R120" i="6" l="1"/>
  <c r="Q121" i="6"/>
  <c r="Q122" i="6" l="1"/>
  <c r="R121" i="6"/>
  <c r="R122" i="6" l="1"/>
  <c r="Q123" i="6"/>
  <c r="Q124" i="6" l="1"/>
  <c r="R123" i="6"/>
  <c r="Q125" i="6" l="1"/>
  <c r="R124" i="6"/>
  <c r="R125" i="6" l="1"/>
  <c r="Q126" i="6"/>
  <c r="Q127" i="6" l="1"/>
  <c r="R126" i="6"/>
  <c r="Q128" i="6" l="1"/>
  <c r="R127" i="6"/>
  <c r="R128" i="6" l="1"/>
  <c r="Q129" i="6"/>
  <c r="Q130" i="6" l="1"/>
  <c r="R129" i="6"/>
  <c r="R130" i="6" l="1"/>
  <c r="Q131" i="6"/>
  <c r="Q132" i="6" l="1"/>
  <c r="R131" i="6"/>
  <c r="Q133" i="6" l="1"/>
  <c r="R132" i="6"/>
  <c r="R133" i="6" l="1"/>
  <c r="Q134" i="6"/>
  <c r="Q135" i="6" l="1"/>
  <c r="R134" i="6"/>
  <c r="Q136" i="6" l="1"/>
  <c r="R135" i="6"/>
  <c r="R136" i="6" l="1"/>
  <c r="Q137" i="6"/>
  <c r="Q138" i="6" l="1"/>
  <c r="R137" i="6"/>
  <c r="R138" i="6" l="1"/>
  <c r="Q139" i="6"/>
  <c r="R139" i="6" l="1"/>
  <c r="Q140" i="6"/>
  <c r="Q141" i="6" l="1"/>
  <c r="R140" i="6"/>
  <c r="R141" i="6" l="1"/>
  <c r="Q142" i="6"/>
  <c r="R142" i="6" l="1"/>
  <c r="Q143" i="6"/>
  <c r="Q144" i="6" l="1"/>
  <c r="R143" i="6"/>
  <c r="R144" i="6" l="1"/>
  <c r="Q145" i="6"/>
  <c r="Q146" i="6" l="1"/>
  <c r="R145" i="6"/>
  <c r="Q147" i="6" l="1"/>
  <c r="R146" i="6"/>
  <c r="R147" i="6" l="1"/>
  <c r="Q148" i="6"/>
  <c r="Q149" i="6" l="1"/>
  <c r="R148" i="6"/>
  <c r="R149" i="6" l="1"/>
  <c r="Q150" i="6"/>
  <c r="R150" i="6" l="1"/>
  <c r="Q151" i="6"/>
  <c r="Q152" i="6" l="1"/>
  <c r="R151" i="6"/>
  <c r="R152" i="6" l="1"/>
  <c r="Q153" i="6"/>
  <c r="R153" i="6" l="1"/>
  <c r="Q154" i="6"/>
  <c r="Q155" i="6" l="1"/>
  <c r="R154" i="6"/>
  <c r="R155" i="6" l="1"/>
  <c r="Q156" i="6"/>
  <c r="R156" i="6" l="1"/>
  <c r="Q157" i="6"/>
  <c r="Q158" i="6" l="1"/>
  <c r="R157" i="6"/>
  <c r="R158" i="6" l="1"/>
  <c r="Q159" i="6"/>
  <c r="Q160" i="6" l="1"/>
  <c r="R159" i="6"/>
  <c r="R160" i="6" l="1"/>
  <c r="Q161" i="6"/>
  <c r="R161" i="6" l="1"/>
  <c r="Q162" i="6"/>
  <c r="Q163" i="6" l="1"/>
  <c r="R162" i="6"/>
  <c r="R163" i="6" l="1"/>
  <c r="Q164" i="6"/>
  <c r="Q165" i="6" l="1"/>
  <c r="R164" i="6"/>
  <c r="Q166" i="6" l="1"/>
  <c r="R165" i="6"/>
  <c r="R166" i="6" l="1"/>
  <c r="Q167" i="6"/>
  <c r="Q168" i="6" l="1"/>
  <c r="R167" i="6"/>
  <c r="Q169" i="6" l="1"/>
  <c r="R168" i="6"/>
  <c r="R169" i="6" l="1"/>
  <c r="Q170" i="6"/>
  <c r="Q171" i="6" l="1"/>
  <c r="R170" i="6"/>
  <c r="R171" i="6" l="1"/>
  <c r="Q172" i="6"/>
  <c r="R172" i="6" l="1"/>
  <c r="Q173" i="6"/>
  <c r="Q174" i="6" l="1"/>
  <c r="R173" i="6"/>
  <c r="R174" i="6" l="1"/>
  <c r="Q175" i="6"/>
  <c r="Q176" i="6" l="1"/>
  <c r="R175" i="6"/>
  <c r="Q177" i="6" l="1"/>
  <c r="R176" i="6"/>
  <c r="R177" i="6" l="1"/>
  <c r="Q178" i="6"/>
  <c r="Q179" i="6" l="1"/>
  <c r="R178" i="6"/>
  <c r="Q180" i="6" l="1"/>
  <c r="R179" i="6"/>
  <c r="R180" i="6" l="1"/>
  <c r="Q181" i="6"/>
  <c r="Q182" i="6" l="1"/>
  <c r="R181" i="6"/>
  <c r="R182" i="6" l="1"/>
  <c r="Q183" i="6"/>
  <c r="R183" i="6" l="1"/>
  <c r="Q184" i="6"/>
  <c r="Q185" i="6" l="1"/>
  <c r="R184" i="6"/>
  <c r="R185" i="6" l="1"/>
  <c r="Q186" i="6"/>
  <c r="Q187" i="6" l="1"/>
  <c r="R186" i="6"/>
  <c r="Q188" i="6" l="1"/>
  <c r="R187" i="6"/>
  <c r="R188" i="6" l="1"/>
  <c r="Q189" i="6"/>
  <c r="Q190" i="6" l="1"/>
  <c r="R189" i="6"/>
  <c r="Q191" i="6" l="1"/>
  <c r="R190" i="6"/>
  <c r="R191" i="6" l="1"/>
  <c r="Q192" i="6"/>
  <c r="Q193" i="6" l="1"/>
  <c r="R192" i="6"/>
  <c r="Q194" i="6" l="1"/>
  <c r="R193" i="6"/>
  <c r="R194" i="6" l="1"/>
  <c r="Q195" i="6"/>
  <c r="Q196" i="6" l="1"/>
  <c r="R195" i="6"/>
  <c r="R196" i="6" l="1"/>
  <c r="Q197" i="6"/>
  <c r="Q198" i="6" l="1"/>
  <c r="R197" i="6"/>
  <c r="Q199" i="6" l="1"/>
  <c r="R198" i="6"/>
  <c r="R199" i="6" l="1"/>
  <c r="Q200" i="6"/>
  <c r="Q201" i="6" l="1"/>
  <c r="R200" i="6"/>
  <c r="R201" i="6" l="1"/>
  <c r="Q202" i="6"/>
  <c r="R202" i="6" l="1"/>
  <c r="Q203" i="6"/>
  <c r="Q204" i="6" l="1"/>
  <c r="R203" i="6"/>
  <c r="R204" i="6" l="1"/>
  <c r="Q205" i="6"/>
  <c r="R205" i="6" l="1"/>
  <c r="Q206" i="6"/>
  <c r="Q207" i="6" l="1"/>
  <c r="R206" i="6"/>
  <c r="R207" i="6" l="1"/>
  <c r="Q208" i="6"/>
  <c r="R208" i="6" l="1"/>
  <c r="Q209" i="6"/>
  <c r="Q210" i="6" l="1"/>
  <c r="R209" i="6"/>
  <c r="R210" i="6" l="1"/>
  <c r="Q211" i="6"/>
  <c r="Q212" i="6" l="1"/>
  <c r="R211" i="6"/>
  <c r="R212" i="6" l="1"/>
  <c r="Q213" i="6"/>
  <c r="R213" i="6" l="1"/>
  <c r="Q214" i="6"/>
  <c r="Q215" i="6" l="1"/>
  <c r="R214" i="6"/>
  <c r="R215" i="6" l="1"/>
  <c r="Q216" i="6"/>
  <c r="R216" i="6" l="1"/>
  <c r="Q217" i="6"/>
  <c r="Q218" i="6" l="1"/>
  <c r="R217" i="6"/>
  <c r="R218" i="6" l="1"/>
  <c r="Q219" i="6"/>
  <c r="Q220" i="6" l="1"/>
  <c r="R219" i="6"/>
  <c r="Q221" i="6" l="1"/>
  <c r="R220" i="6"/>
  <c r="Q222" i="6" l="1"/>
  <c r="R221" i="6"/>
  <c r="Q223" i="6" l="1"/>
  <c r="R222" i="6"/>
  <c r="Q224" i="6" l="1"/>
  <c r="R223" i="6"/>
  <c r="R224" i="6" l="1"/>
  <c r="Q225" i="6"/>
  <c r="Q226" i="6" l="1"/>
  <c r="R225" i="6"/>
  <c r="R226" i="6" l="1"/>
  <c r="Q227" i="6"/>
  <c r="Q228" i="6" l="1"/>
  <c r="R227" i="6"/>
  <c r="Q229" i="6" l="1"/>
  <c r="R229" i="6" s="1"/>
  <c r="R228" i="6"/>
</calcChain>
</file>

<file path=xl/sharedStrings.xml><?xml version="1.0" encoding="utf-8"?>
<sst xmlns="http://schemas.openxmlformats.org/spreadsheetml/2006/main" count="669" uniqueCount="444">
  <si>
    <t>Municípios</t>
  </si>
  <si>
    <t>RS</t>
  </si>
  <si>
    <t>Período</t>
  </si>
  <si>
    <t>Comércio ampliado RS</t>
  </si>
  <si>
    <t>Potencial</t>
  </si>
  <si>
    <t>Gap</t>
  </si>
  <si>
    <t>potencial</t>
  </si>
  <si>
    <t>PO</t>
  </si>
  <si>
    <t>Desocupadas</t>
  </si>
  <si>
    <t>Total</t>
  </si>
  <si>
    <t>Variação</t>
  </si>
  <si>
    <t>Emprego %</t>
  </si>
  <si>
    <t>PO CC</t>
  </si>
  <si>
    <t>PO NCC</t>
  </si>
  <si>
    <t>Componentes da função de produção</t>
  </si>
  <si>
    <t>Taxas de crescimento de componentes</t>
  </si>
  <si>
    <t>Contribuições para o crescimento</t>
  </si>
  <si>
    <t>Razão investimento líquido/Capital</t>
  </si>
  <si>
    <t>Pessoas ocupadas (PO) - Pessoa (mil) (L)</t>
  </si>
  <si>
    <t>Pessoas desocupadas (PD) - Pessoa (mil)</t>
  </si>
  <si>
    <t>PEA</t>
  </si>
  <si>
    <t>Taxa de emprego (%)</t>
  </si>
  <si>
    <t>PIB real (Y)  (% YoY)</t>
  </si>
  <si>
    <t>Emprego (L)  (%YoY)</t>
  </si>
  <si>
    <t>PTF estimada (A(res))</t>
  </si>
  <si>
    <t>Emprego (L)</t>
  </si>
  <si>
    <r>
      <t>Razão investimento bruto / capital  (I</t>
    </r>
    <r>
      <rPr>
        <b/>
        <vertAlign val="subscript"/>
        <sz val="12"/>
        <color theme="0"/>
        <rFont val="Garamond"/>
        <family val="1"/>
      </rPr>
      <t>t</t>
    </r>
    <r>
      <rPr>
        <b/>
        <sz val="12"/>
        <color theme="0"/>
        <rFont val="Garamond"/>
        <family val="1"/>
      </rPr>
      <t>/K</t>
    </r>
    <r>
      <rPr>
        <b/>
        <vertAlign val="subscript"/>
        <sz val="12"/>
        <color theme="0"/>
        <rFont val="Garamond"/>
        <family val="1"/>
      </rPr>
      <t>t-1</t>
    </r>
    <r>
      <rPr>
        <b/>
        <sz val="12"/>
        <color theme="0"/>
        <rFont val="Garamond"/>
        <family val="1"/>
      </rPr>
      <t>)</t>
    </r>
  </si>
  <si>
    <t>Taxa de depreciação trimestral (d)</t>
  </si>
  <si>
    <r>
      <t>Razão investimento líquido / capital   (I</t>
    </r>
    <r>
      <rPr>
        <b/>
        <vertAlign val="subscript"/>
        <sz val="12"/>
        <color theme="0"/>
        <rFont val="Garamond"/>
        <family val="1"/>
      </rPr>
      <t>t</t>
    </r>
    <r>
      <rPr>
        <b/>
        <sz val="12"/>
        <color theme="0"/>
        <rFont val="Garamond"/>
        <family val="1"/>
      </rPr>
      <t>/K</t>
    </r>
    <r>
      <rPr>
        <b/>
        <vertAlign val="subscript"/>
        <sz val="12"/>
        <color theme="0"/>
        <rFont val="Garamond"/>
        <family val="1"/>
      </rPr>
      <t>t-1</t>
    </r>
    <r>
      <rPr>
        <b/>
        <sz val="12"/>
        <color theme="0"/>
        <rFont val="Garamond"/>
        <family val="1"/>
      </rPr>
      <t>)-d</t>
    </r>
  </si>
  <si>
    <t xml:space="preserve">PIB real da Construção Civil (Yd) </t>
  </si>
  <si>
    <t>Volume de vendas no comÃ©rcio varejista ampliado</t>
  </si>
  <si>
    <t xml:space="preserve"> </t>
  </si>
  <si>
    <t>Rio Grande do Sul</t>
  </si>
  <si>
    <t>marÃ§o 2004</t>
  </si>
  <si>
    <t>marÃ§o 2005</t>
  </si>
  <si>
    <t>marÃ§o 2006</t>
  </si>
  <si>
    <t>marÃ§o 2007</t>
  </si>
  <si>
    <t>marÃ§o 2008</t>
  </si>
  <si>
    <t>marÃ§o 2009</t>
  </si>
  <si>
    <t>marÃ§o 2010</t>
  </si>
  <si>
    <t>marÃ§o 2011</t>
  </si>
  <si>
    <t>marÃ§o 2012</t>
  </si>
  <si>
    <t>marÃ§o 2013</t>
  </si>
  <si>
    <t>marÃ§o 2014</t>
  </si>
  <si>
    <t>marÃ§o 2015</t>
  </si>
  <si>
    <t>marÃ§o 2016</t>
  </si>
  <si>
    <t>marÃ§o 2017</t>
  </si>
  <si>
    <t>marÃ§o 2018</t>
  </si>
  <si>
    <t>marÃ§o 2019</t>
  </si>
  <si>
    <t>marÃ§o 2020</t>
  </si>
  <si>
    <t>marÃ§o 2021</t>
  </si>
  <si>
    <t>marÃ§o 2022</t>
  </si>
  <si>
    <t>marÃ§o 2023</t>
  </si>
  <si>
    <t>Ano</t>
  </si>
  <si>
    <r>
      <rPr>
        <sz val="11"/>
        <color theme="1"/>
        <rFont val="Aptos Narrow"/>
        <family val="2"/>
      </rPr>
      <t>π</t>
    </r>
    <r>
      <rPr>
        <sz val="11"/>
        <color theme="1"/>
        <rFont val="Calibri"/>
        <family val="2"/>
      </rPr>
      <t>_POA</t>
    </r>
  </si>
  <si>
    <t>Índice π_POA</t>
  </si>
  <si>
    <t>Selic</t>
  </si>
  <si>
    <t>Juro Real</t>
  </si>
  <si>
    <t>https://atlassocioeconomico.rs.gov.br/participacao-do-pib-estadual</t>
  </si>
  <si>
    <t>2021 (1)</t>
  </si>
  <si>
    <t>2022 (1)</t>
  </si>
  <si>
    <t>GL</t>
  </si>
  <si>
    <t>GC</t>
  </si>
  <si>
    <t>liquidado rs</t>
  </si>
  <si>
    <t>encargos</t>
  </si>
  <si>
    <t>efetivo</t>
  </si>
  <si>
    <t>CAGE</t>
  </si>
  <si>
    <t>IGL</t>
  </si>
  <si>
    <t>IGC/GC</t>
  </si>
  <si>
    <t>https://dados.gov.br/dados/conjuntos-dados/resultado-da-arrecadacao</t>
  </si>
  <si>
    <t>Arrecadação União</t>
  </si>
  <si>
    <t>(2002=100)</t>
  </si>
  <si>
    <t>(2000=100)</t>
  </si>
  <si>
    <t>-</t>
  </si>
  <si>
    <t>empenhado rs</t>
  </si>
  <si>
    <t>Remuneração</t>
  </si>
  <si>
    <t>Salários</t>
  </si>
  <si>
    <t>Contribuição social</t>
  </si>
  <si>
    <t>PIB</t>
  </si>
  <si>
    <t>UNIÃO</t>
  </si>
  <si>
    <t>ICMS+IPVA</t>
  </si>
  <si>
    <t>ISSQN+IPTU</t>
  </si>
  <si>
    <t>Receita para GL</t>
  </si>
  <si>
    <t>Receita para GC</t>
  </si>
  <si>
    <t>theta_c</t>
  </si>
  <si>
    <t>theta_w</t>
  </si>
  <si>
    <t>NATURAL LOG</t>
  </si>
  <si>
    <t>Brazil</t>
  </si>
  <si>
    <t>Poa</t>
  </si>
  <si>
    <t>PARÂMETROS DE PROPORÇÕES DAS CONTAS NACIONAIS (STEADY-STATES)</t>
  </si>
  <si>
    <t>GL/Y</t>
  </si>
  <si>
    <t>GC/Y</t>
  </si>
  <si>
    <t>IGL/Y</t>
  </si>
  <si>
    <t>IGC/Y</t>
  </si>
  <si>
    <t>W (Total)</t>
  </si>
  <si>
    <t>W/Y</t>
  </si>
  <si>
    <t>IGC</t>
  </si>
  <si>
    <t>IGL/GL</t>
  </si>
  <si>
    <t>Média</t>
  </si>
  <si>
    <t>Transferências da União</t>
  </si>
  <si>
    <t>TR</t>
  </si>
  <si>
    <t>W_TR/GL</t>
  </si>
  <si>
    <t>W_TR/GC</t>
  </si>
  <si>
    <t>ICMS</t>
  </si>
  <si>
    <t>IPVA</t>
  </si>
  <si>
    <t>IRRF</t>
  </si>
  <si>
    <t>CONTR. PREV.</t>
  </si>
  <si>
    <t>ISSQN</t>
  </si>
  <si>
    <t>IPTU</t>
  </si>
  <si>
    <t>Transf. União</t>
  </si>
  <si>
    <t>IRRF + CONTR. PREV.</t>
  </si>
  <si>
    <t>TR/GL</t>
  </si>
  <si>
    <t>CONSUMO/GL</t>
  </si>
  <si>
    <t>RENDA/GL</t>
  </si>
  <si>
    <t>tht_c</t>
  </si>
  <si>
    <t>tht_w</t>
  </si>
  <si>
    <t>tht_f</t>
  </si>
  <si>
    <t>w_br</t>
  </si>
  <si>
    <t>w_gcc</t>
  </si>
  <si>
    <t>w_gwc</t>
  </si>
  <si>
    <t>w_gf</t>
  </si>
  <si>
    <t>w_gc</t>
  </si>
  <si>
    <t>w_gw</t>
  </si>
  <si>
    <t>w_tr</t>
  </si>
  <si>
    <t>w_trc</t>
  </si>
  <si>
    <t>GL+IGL</t>
  </si>
  <si>
    <t>Yd = Ad*Nd</t>
  </si>
  <si>
    <t>Proporção</t>
  </si>
  <si>
    <t>Var % PO em relação a Nd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</si>
  <si>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</si>
  <si>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</si>
  <si>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</si>
  <si>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</si>
  <si>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</si>
  <si>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</si>
  <si>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</si>
  <si>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</si>
  <si>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</si>
  <si>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</si>
  <si>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</si>
  <si>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</si>
  <si>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</si>
  <si>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</si>
  <si>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</si>
  <si>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</si>
  <si>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</si>
  <si>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</si>
  <si>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</si>
  <si>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</si>
  <si>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</si>
  <si>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</si>
  <si>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</si>
  <si>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</si>
  <si>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</si>
  <si>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</si>
  <si>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</si>
  <si>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</si>
  <si>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</si>
  <si>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</si>
  <si>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</si>
  <si>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</si>
  <si>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</si>
  <si>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</si>
  <si>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</si>
  <si>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</si>
  <si>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</si>
  <si>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</si>
  <si>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</si>
  <si>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</si>
  <si>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</si>
  <si>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</si>
  <si>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</si>
  <si>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</si>
  <si>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</si>
  <si>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</si>
  <si>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</si>
  <si>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</si>
  <si>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</si>
  <si>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</si>
  <si>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</si>
  <si>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</si>
  <si>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</si>
  <si>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</si>
  <si>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</si>
  <si>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</si>
  <si>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</si>
  <si>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</si>
  <si>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</si>
  <si>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</si>
  <si>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</si>
  <si>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</si>
  <si>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</si>
  <si>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</si>
  <si>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</si>
  <si>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</si>
  <si>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</si>
  <si>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</si>
  <si>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</si>
  <si>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</si>
  <si>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</si>
  <si>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</si>
  <si>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</si>
  <si>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</si>
  <si>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</si>
  <si>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</si>
  <si>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</si>
  <si>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</si>
  <si>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</si>
  <si>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</si>
  <si>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</si>
  <si>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SÉRIE COM AJUSTE SAZONAL DO ÍNDICE DE VOLUME TRIMESTRAL</t>
  </si>
  <si>
    <t>PIB total</t>
  </si>
  <si>
    <t>Construção Civil</t>
  </si>
  <si>
    <t>PIB real CC</t>
  </si>
  <si>
    <t>PIB nominal CC 2002</t>
  </si>
  <si>
    <t>Trimestre</t>
  </si>
  <si>
    <t>Ad</t>
  </si>
  <si>
    <t>Depreciação</t>
  </si>
  <si>
    <t>K inicial é I/deprec</t>
  </si>
  <si>
    <t>PIB real total</t>
  </si>
  <si>
    <t>Ac</t>
  </si>
  <si>
    <t>Crescimento 2012-2020</t>
  </si>
  <si>
    <t>Yc (PIB real total menos Yd)</t>
  </si>
  <si>
    <t>omega</t>
  </si>
  <si>
    <t>nu</t>
  </si>
  <si>
    <t>Capital (K) (% YoY)</t>
  </si>
  <si>
    <t>Id/Y</t>
  </si>
  <si>
    <t>Ic/Y</t>
  </si>
  <si>
    <t>I/Y (Brasil)</t>
  </si>
  <si>
    <t>K estimado</t>
  </si>
  <si>
    <t>FBKF (Ic)</t>
  </si>
  <si>
    <t>GL + IGL</t>
  </si>
  <si>
    <t>GC + IGC</t>
  </si>
  <si>
    <t>Kg estimado</t>
  </si>
  <si>
    <t>Capital público (Kg) (% YoY)</t>
  </si>
  <si>
    <t>CC</t>
  </si>
  <si>
    <t>OUTROS</t>
  </si>
  <si>
    <t>Var % PO em relação a Nc</t>
  </si>
  <si>
    <t>Y</t>
  </si>
  <si>
    <t>W</t>
  </si>
  <si>
    <t>Yc = Ac*K^(omega)*Nc^(1-omega)*Kg^0,05</t>
  </si>
  <si>
    <t>Juros</t>
  </si>
  <si>
    <t>Amortozição</t>
  </si>
  <si>
    <t>DEE</t>
  </si>
  <si>
    <t>Shocks</t>
  </si>
  <si>
    <t>Amort</t>
  </si>
  <si>
    <t>eps_bl</t>
  </si>
  <si>
    <t>PIB real (Yc)  (% YoY)</t>
  </si>
  <si>
    <t>% PTF estimada (A(res))</t>
  </si>
  <si>
    <t>Yd</t>
  </si>
  <si>
    <t>Yc</t>
  </si>
  <si>
    <t>IC</t>
  </si>
  <si>
    <t>Proporções</t>
  </si>
  <si>
    <t>(GL+IGL)*PIB*0,75</t>
  </si>
  <si>
    <t>eps_tauc</t>
  </si>
  <si>
    <t>Years</t>
  </si>
  <si>
    <t>Values (millions of R$)</t>
  </si>
  <si>
    <t>Source: SPGG-RS/DEE.</t>
  </si>
  <si>
    <t>IBGE/Diretoria de Pesquisas/Coordenação de Contas Nacionais.</t>
  </si>
  <si>
    <t>(1) Preliminary estimatives.</t>
  </si>
  <si>
    <t>IBGE, em parceria com os Órgãos Estaduais de Estatística, Secretarias de Governo e Superintendência da Zona Franca de Manaus - SUFRAMA.</t>
  </si>
  <si>
    <t>Change %</t>
  </si>
  <si>
    <t>VALUE                   (Millions of R$)</t>
  </si>
  <si>
    <t>YEARS</t>
  </si>
  <si>
    <t>Price Index</t>
  </si>
  <si>
    <t>Real Change (Volume Change)</t>
  </si>
  <si>
    <t>Cities</t>
  </si>
  <si>
    <t>State</t>
  </si>
  <si>
    <t>Expenditure</t>
  </si>
  <si>
    <t>Year</t>
  </si>
  <si>
    <t>Central Goverment</t>
  </si>
  <si>
    <t>RS Nominal GDP</t>
  </si>
  <si>
    <t>6,3% of RS share in Brazil's GDP -&gt; primary expenditure of Central Government in RS is 6,3% of total primary expenditure</t>
  </si>
  <si>
    <t>Total expenditure without debt and transfers</t>
  </si>
  <si>
    <t>Expenditure in RS (GC + IGC)</t>
  </si>
  <si>
    <t>Averages</t>
  </si>
  <si>
    <t>Consumption Tax</t>
  </si>
  <si>
    <t>Income Tax</t>
  </si>
  <si>
    <t>Firms Tax</t>
  </si>
  <si>
    <t>Expenditure in RS</t>
  </si>
  <si>
    <t>Agregate Supply and Non-Durable productivity (AC)</t>
  </si>
  <si>
    <t>GDP decompostion</t>
  </si>
  <si>
    <t>CYCLES - OLS</t>
  </si>
  <si>
    <t>SERIES WITH CONSTANT PRICES (2010)</t>
  </si>
  <si>
    <t>Agregate Supply and Durable productivity (AD)</t>
  </si>
  <si>
    <t>Crescimento Y total 2011- 2020 %</t>
  </si>
  <si>
    <t>Cities Investment</t>
  </si>
  <si>
    <t>State Investment</t>
  </si>
  <si>
    <t>Total Local Investment</t>
  </si>
  <si>
    <t>Total Central Public Investment</t>
  </si>
  <si>
    <t>Central Public Investment in RS</t>
  </si>
  <si>
    <t>Cities investment</t>
  </si>
  <si>
    <t>0.02564476304782313</t>
  </si>
  <si>
    <t>-0.01990449419667875</t>
  </si>
  <si>
    <t>0.02306533721991984</t>
  </si>
  <si>
    <t>0.002540752119328423</t>
  </si>
  <si>
    <t>-0.03404489512215331</t>
  </si>
  <si>
    <t>-0.03673089576738482</t>
  </si>
  <si>
    <t>0.001828564281913282</t>
  </si>
  <si>
    <t>0.03325464057274144</t>
  </si>
  <si>
    <t>0.01270415567069007</t>
  </si>
  <si>
    <t>-0.02417778592010155</t>
  </si>
  <si>
    <t>0.01581985809390696</t>
  </si>
  <si>
    <t>-0.06867680049163121</t>
  </si>
  <si>
    <t>-0.01469249389820836</t>
  </si>
  <si>
    <t>0.06610860933129358</t>
  </si>
  <si>
    <t>0.0756495568872267</t>
  </si>
  <si>
    <t>0.02707354042533952</t>
  </si>
  <si>
    <t>-0.00533295808452805</t>
  </si>
  <si>
    <t>-0.04102767473752536</t>
  </si>
  <si>
    <t>-0.04144483856587283</t>
  </si>
  <si>
    <t>-0.02033992641812018</t>
  </si>
  <si>
    <t>-0.0460667075061777</t>
  </si>
  <si>
    <t>0.06874969305820461</t>
  </si>
  <si>
    <t>-0.04254106387114265</t>
  </si>
  <si>
    <t>-0.01511567977281878</t>
  </si>
  <si>
    <t>0.03384478147619276</t>
  </si>
  <si>
    <t>0.05063144938665129</t>
  </si>
  <si>
    <t>0.01508862399426464</t>
  </si>
  <si>
    <t>-0.01775866294213139</t>
  </si>
  <si>
    <t>0.01724443679930268</t>
  </si>
  <si>
    <t>0.01524674332246315</t>
  </si>
  <si>
    <t>-0.04010956618490754</t>
  </si>
  <si>
    <t>0.09345104706716222</t>
  </si>
  <si>
    <t>-0.006394762911943034</t>
  </si>
  <si>
    <t>-0.1345726471279682</t>
  </si>
  <si>
    <t>-0.02769191422994677</t>
  </si>
  <si>
    <t>0.1610135757531725</t>
  </si>
  <si>
    <t>0.2978860174209931</t>
  </si>
  <si>
    <t>-0.1186464076179856</t>
  </si>
  <si>
    <t>0.07613651694263596</t>
  </si>
  <si>
    <t>-0.2401486817735427</t>
  </si>
  <si>
    <t>-0.1568845702866186</t>
  </si>
  <si>
    <t>-0.1025736656903001</t>
  </si>
  <si>
    <t>0.4872562369946238</t>
  </si>
  <si>
    <t>-0.2146815844497567</t>
  </si>
  <si>
    <t>Table 2</t>
  </si>
  <si>
    <t>GDP,price and volume indexes and % changes, Rio Grande do Sul — 2002-21</t>
  </si>
  <si>
    <t>0.01316215155477036</t>
  </si>
  <si>
    <t>0.02703068065219287</t>
  </si>
  <si>
    <t>0.0354984994399624</t>
  </si>
  <si>
    <t>0.0387070293316022</t>
  </si>
  <si>
    <t>0.005317598665552196</t>
  </si>
  <si>
    <t>-0.03077403445051404</t>
  </si>
  <si>
    <t>0.00927655800100138</t>
  </si>
  <si>
    <t>0.01843330187585276</t>
  </si>
  <si>
    <t>0.0002309619237337406</t>
  </si>
  <si>
    <t>-0.008282150060129346</t>
  </si>
  <si>
    <t>-0.05627851460730209</t>
  </si>
  <si>
    <t>-0.0286651387361883</t>
  </si>
  <si>
    <t>0.1112187152805771</t>
  </si>
  <si>
    <t>-0.02950952850285535</t>
  </si>
  <si>
    <t>0.1188891408814115</t>
  </si>
  <si>
    <t>-0.2199220515061205</t>
  </si>
  <si>
    <t>-0.2172598184703536</t>
  </si>
  <si>
    <t>-0.3276421171757893</t>
  </si>
  <si>
    <t>-0.008488064590421562</t>
  </si>
  <si>
    <t>-0.1159205410851549</t>
  </si>
  <si>
    <t>0.1206603450834124</t>
  </si>
  <si>
    <t>0.36549542312698</t>
  </si>
  <si>
    <t>-0.0111111984993518</t>
  </si>
  <si>
    <t>0.0007137970853513748</t>
  </si>
  <si>
    <t>-0.02292995992883064</t>
  </si>
  <si>
    <t>0.0565901635182862</t>
  </si>
  <si>
    <t>0.05149165881840478</t>
  </si>
  <si>
    <t>0.002009618318521821</t>
  </si>
  <si>
    <t>-0.02478316431876258</t>
  </si>
  <si>
    <t>-0.009295605337145042</t>
  </si>
  <si>
    <t>0.007831525617171861</t>
  </si>
  <si>
    <t>0.01601960509918876</t>
  </si>
  <si>
    <t>-0.06115570948959086</t>
  </si>
  <si>
    <t>0.02525977933542647</t>
  </si>
  <si>
    <t>GDP</t>
  </si>
  <si>
    <t>-0.07873152131211045</t>
  </si>
  <si>
    <t>-0.02257131796914397</t>
  </si>
  <si>
    <t>0.01678635297601824</t>
  </si>
  <si>
    <t>0.04311723489038421</t>
  </si>
  <si>
    <t>0.05827642635624732</t>
  </si>
  <si>
    <t>0.03176721973801183</t>
  </si>
  <si>
    <t>-0.01635601026592196</t>
  </si>
  <si>
    <t>0.001853139976939255</t>
  </si>
  <si>
    <t>0.01927437695970638</t>
  </si>
  <si>
    <t>0.008978923987768728</t>
  </si>
  <si>
    <t>-0.004206932138166947</t>
  </si>
  <si>
    <t>-0.05818789319980289</t>
  </si>
  <si>
    <t>0.2311436356944435</t>
  </si>
  <si>
    <t>-0.02475019236083511</t>
  </si>
  <si>
    <t>-0.02318992654837485</t>
  </si>
  <si>
    <t>0.003015551152586393</t>
  </si>
  <si>
    <t>0.03148704850964539</t>
  </si>
  <si>
    <t>0.02601304680150709</t>
  </si>
  <si>
    <t>-0.005249886248431701</t>
  </si>
  <si>
    <t>-0.01365399707767245</t>
  </si>
  <si>
    <t>0.02791992443198929</t>
  </si>
  <si>
    <t>-0.006582674560351831</t>
  </si>
  <si>
    <t>-0.03496284903979036</t>
  </si>
  <si>
    <t>0.1207870323031717</t>
  </si>
  <si>
    <t>-0.1008330773634676</t>
  </si>
  <si>
    <t>-0.02709287593538997</t>
  </si>
  <si>
    <t>-0.1101169005596265</t>
  </si>
  <si>
    <t>-0.02661193643798391</t>
  </si>
  <si>
    <t>-0.0003265219587386126</t>
  </si>
  <si>
    <t>0.07373492686170394</t>
  </si>
  <si>
    <t>0.08780121564134742</t>
  </si>
  <si>
    <t>0.02310962031888786</t>
  </si>
  <si>
    <t>0.004295438379332141</t>
  </si>
  <si>
    <t>0.02102715280907603</t>
  </si>
  <si>
    <t>0.01376400123321841</t>
  </si>
  <si>
    <t>0.02457736006216074</t>
  </si>
  <si>
    <t>-0.05883420508949438</t>
  </si>
  <si>
    <t>-0.05242015125995136</t>
  </si>
  <si>
    <t>-0.008155291714805562</t>
  </si>
  <si>
    <t>0.0046888035148696</t>
  </si>
  <si>
    <t>-0.004748065475242135</t>
  </si>
  <si>
    <t>-0.002861325113811167</t>
  </si>
  <si>
    <t>0.006069921075587696</t>
  </si>
  <si>
    <t>0.04661340964266607</t>
  </si>
  <si>
    <t>0.007174878409533532</t>
  </si>
  <si>
    <t>-0.03541840062513991</t>
  </si>
  <si>
    <t>-0.01543130918067404</t>
  </si>
  <si>
    <t>-0.02089595792101828</t>
  </si>
  <si>
    <t>-0.01984148764632841</t>
  </si>
  <si>
    <t>0.04280482503436246</t>
  </si>
  <si>
    <t>CYCLE_AC</t>
  </si>
  <si>
    <t>CYCLE_AD</t>
  </si>
  <si>
    <t>CYCLE_GC</t>
  </si>
  <si>
    <t>CYCLE_GL</t>
  </si>
  <si>
    <t>CYCLE_IGC</t>
  </si>
  <si>
    <t>CYCLE_IGL</t>
  </si>
  <si>
    <t>CYCLE_INFLATION</t>
  </si>
  <si>
    <t>CYCLE_W</t>
  </si>
  <si>
    <t>CYCLE_Y</t>
  </si>
  <si>
    <t>SHOCKS - OLS (GL and GC are the residuals of an AR(1) process. The others are the cycle itself).</t>
  </si>
  <si>
    <t>Period</t>
  </si>
  <si>
    <t>Anualized Interest rate (Selic)</t>
  </si>
  <si>
    <t>Interest (Selic)</t>
  </si>
  <si>
    <t>Inflation</t>
  </si>
  <si>
    <t>Real Interest</t>
  </si>
  <si>
    <t>Average for real interest</t>
  </si>
  <si>
    <t>Beta (discout factor)</t>
  </si>
  <si>
    <t>Output Gap - Monthly Commerce Data</t>
  </si>
  <si>
    <t>Wide Commerce RS data - Nominal revenues index and sells</t>
  </si>
  <si>
    <t xml:space="preserve">Accumulated 12 months </t>
  </si>
  <si>
    <t>Inflation POA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</si>
</sst>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-* #,##0.00_-;\-* #,##0.00_-;_-* &quot;-&quot;??_-;_-@_-"/>
    <numFmt numFmtId="164" formatCode="0.000"/>
    <numFmt numFmtId="165" formatCode="0.0000"/>
    <numFmt numFmtId="166" formatCode="0.0%"/>
    <numFmt numFmtId="167" formatCode="0.00000"/>
    <numFmt numFmtId="168" formatCode="0.0"/>
    <numFmt numFmtId="169" formatCode="0.000000%"/>
    <numFmt numFmtId="170" formatCode="0.00000%"/>
    <numFmt numFmtId="171" formatCode="0.0000%"/>
    <numFmt numFmtId="172" formatCode="0.000%"/>
    <numFmt numFmtId="173" formatCode="0.0000000000"/>
    <numFmt numFmtId="174" formatCode="_-* #,##0.000_-;\-* #,##0.000_-;_-* &quot;-&quot;??_-;_-@_-"/>
    <numFmt numFmtId="175" formatCode="_(* #,##0.00_);_(* \(#,##0.00\);_(* &quot;-&quot;??_);_(@_)"/>
    <numFmt numFmtId="176" formatCode="0.00000000000"/>
    <numFmt numFmtId="177" formatCode="#,##0.0"/>
    <numFmt numFmtId="178" formatCode="_(* #,##0_);_(* \(#,##0\);_(* &quot;-&quot;??_);_(@_)"/>
    <numFmt numFmtId="179" formatCode="_(* #,##0.0000_);_(* \(#,##0.0000\);_(* &quot;-&quot;??_);_(@_)"/>
    <numFmt numFmtId="180" formatCode="_-* #,##0.0000_-;\-* #,##0.0000_-;_-* &quot;-&quot;??_-;_-@_-"/>
    <numFmt numFmtId="181" formatCode="#,##0.000"/>
    <numFmt numFmtId="182" formatCode="_-* #,##0.0000_-;\-* #,##0.0000_-;_-* &quot;-&quot;????_-;_-@_-"/>
    <numFmt numFmtId="183" formatCode="_-* #,##0.00000_-;\-* #,##0.0000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2"/>
      <color theme="1"/>
      <name val="Garamond"/>
      <family val="1"/>
    </font>
    <font>
      <b/>
      <sz val="12"/>
      <color theme="0"/>
      <name val="Garamond"/>
      <family val="1"/>
    </font>
    <font>
      <b/>
      <sz val="12"/>
      <color theme="1"/>
      <name val="Garamond"/>
      <family val="1"/>
    </font>
    <font>
      <sz val="12"/>
      <color theme="0"/>
      <name val="Garamond"/>
      <family val="1"/>
    </font>
    <font>
      <sz val="10"/>
      <name val="Times New Roman"/>
      <family val="1"/>
    </font>
    <font>
      <b/>
      <vertAlign val="subscript"/>
      <sz val="12"/>
      <color theme="0"/>
      <name val="Garamond"/>
      <family val="1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ourier New"/>
      <family val="3"/>
    </font>
    <font>
      <sz val="12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4CD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FC3"/>
        <bgColor indexed="64"/>
      </patternFill>
    </fill>
    <fill>
      <patternFill patternType="solid">
        <fgColor rgb="FF45A177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4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8" borderId="1" applyNumberFormat="0" applyAlignment="0" applyProtection="0"/>
    <xf numFmtId="0" fontId="11" fillId="8" borderId="1" applyNumberFormat="0" applyAlignment="0" applyProtection="0"/>
    <xf numFmtId="0" fontId="12" fillId="21" borderId="2" applyNumberFormat="0" applyAlignment="0" applyProtection="0"/>
    <xf numFmtId="0" fontId="4" fillId="0" borderId="3" applyNumberFormat="0" applyFill="0" applyAlignment="0" applyProtection="0"/>
    <xf numFmtId="0" fontId="12" fillId="21" borderId="2" applyNumberForma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3" fillId="8" borderId="1" applyNumberFormat="0" applyAlignment="0" applyProtection="0"/>
    <xf numFmtId="0" fontId="18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13" fillId="7" borderId="1" applyNumberFormat="0" applyAlignment="0" applyProtection="0"/>
    <xf numFmtId="0" fontId="4" fillId="0" borderId="3" applyNumberFormat="0" applyFill="0" applyAlignment="0" applyProtection="0"/>
    <xf numFmtId="0" fontId="15" fillId="22" borderId="0" applyNumberFormat="0" applyBorder="0" applyAlignment="0" applyProtection="0"/>
    <xf numFmtId="0" fontId="2" fillId="0" borderId="0"/>
    <xf numFmtId="0" fontId="2" fillId="23" borderId="7" applyNumberFormat="0" applyFont="0" applyAlignment="0" applyProtection="0"/>
    <xf numFmtId="0" fontId="3" fillId="23" borderId="7" applyNumberFormat="0" applyFont="0" applyAlignment="0" applyProtection="0"/>
    <xf numFmtId="0" fontId="16" fillId="8" borderId="8" applyNumberFormat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0" fontId="28" fillId="0" borderId="0"/>
    <xf numFmtId="0" fontId="2" fillId="0" borderId="0"/>
    <xf numFmtId="175" fontId="2" fillId="0" borderId="0" applyFont="0" applyFill="0" applyBorder="0" applyAlignment="0" applyProtection="0"/>
  </cellStyleXfs>
  <cellXfs count="126">
    <xf numFmtId="0" fontId="0" fillId="0" borderId="0" xfId="0"/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167" fontId="0" fillId="0" borderId="0" xfId="0" applyNumberFormat="1"/>
    <xf numFmtId="0" fontId="21" fillId="24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25" borderId="10" xfId="0" applyFont="1" applyFill="1" applyBorder="1" applyAlignment="1">
      <alignment horizontal="center" vertical="center"/>
    </xf>
    <xf numFmtId="0" fontId="20" fillId="0" borderId="0" xfId="0" applyFont="1"/>
    <xf numFmtId="0" fontId="20" fillId="27" borderId="0" xfId="0" applyFont="1" applyFill="1"/>
    <xf numFmtId="0" fontId="21" fillId="29" borderId="0" xfId="0" applyFont="1" applyFill="1" applyAlignment="1">
      <alignment horizontal="center" vertical="center"/>
    </xf>
    <xf numFmtId="0" fontId="21" fillId="29" borderId="0" xfId="0" applyFont="1" applyFill="1" applyAlignment="1">
      <alignment horizontal="center" vertical="center" wrapText="1"/>
    </xf>
    <xf numFmtId="168" fontId="20" fillId="0" borderId="0" xfId="0" applyNumberFormat="1" applyFont="1"/>
    <xf numFmtId="0" fontId="20" fillId="24" borderId="0" xfId="0" applyFont="1" applyFill="1" applyAlignment="1">
      <alignment horizontal="center" vertical="center"/>
    </xf>
    <xf numFmtId="10" fontId="0" fillId="0" borderId="0" xfId="0" applyNumberFormat="1"/>
    <xf numFmtId="2" fontId="0" fillId="0" borderId="0" xfId="1" applyNumberFormat="1" applyFont="1"/>
    <xf numFmtId="172" fontId="0" fillId="0" borderId="0" xfId="0" applyNumberFormat="1"/>
    <xf numFmtId="171" fontId="0" fillId="0" borderId="0" xfId="1" applyNumberFormat="1" applyFont="1"/>
    <xf numFmtId="170" fontId="0" fillId="0" borderId="0" xfId="1" applyNumberFormat="1" applyFont="1"/>
    <xf numFmtId="169" fontId="0" fillId="0" borderId="0" xfId="1" applyNumberFormat="1" applyFont="1"/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84" applyFont="1"/>
    <xf numFmtId="43" fontId="0" fillId="0" borderId="0" xfId="0" applyNumberFormat="1"/>
    <xf numFmtId="4" fontId="0" fillId="0" borderId="0" xfId="0" applyNumberFormat="1"/>
    <xf numFmtId="4" fontId="29" fillId="0" borderId="7" xfId="85" applyNumberFormat="1" applyFont="1" applyBorder="1" applyAlignment="1">
      <alignment horizontal="right" wrapText="1"/>
    </xf>
    <xf numFmtId="4" fontId="29" fillId="0" borderId="0" xfId="85" applyNumberFormat="1" applyFont="1" applyAlignment="1">
      <alignment horizontal="right" wrapText="1"/>
    </xf>
    <xf numFmtId="0" fontId="0" fillId="31" borderId="0" xfId="0" applyFill="1" applyAlignment="1">
      <alignment horizontal="center"/>
    </xf>
    <xf numFmtId="43" fontId="0" fillId="0" borderId="0" xfId="84" applyFont="1" applyAlignment="1">
      <alignment horizontal="center"/>
    </xf>
    <xf numFmtId="176" fontId="0" fillId="0" borderId="0" xfId="0" applyNumberFormat="1"/>
    <xf numFmtId="43" fontId="31" fillId="0" borderId="0" xfId="84" applyFont="1" applyFill="1" applyBorder="1"/>
    <xf numFmtId="175" fontId="31" fillId="0" borderId="0" xfId="84" applyNumberFormat="1" applyFont="1" applyFill="1" applyBorder="1"/>
    <xf numFmtId="174" fontId="0" fillId="32" borderId="0" xfId="0" applyNumberFormat="1" applyFill="1"/>
    <xf numFmtId="0" fontId="0" fillId="32" borderId="0" xfId="0" applyFill="1"/>
    <xf numFmtId="43" fontId="0" fillId="32" borderId="0" xfId="0" applyNumberFormat="1" applyFill="1"/>
    <xf numFmtId="173" fontId="0" fillId="0" borderId="0" xfId="1" applyNumberFormat="1" applyFont="1"/>
    <xf numFmtId="43" fontId="0" fillId="0" borderId="0" xfId="0" applyNumberFormat="1" applyAlignment="1">
      <alignment horizontal="center"/>
    </xf>
    <xf numFmtId="173" fontId="0" fillId="0" borderId="0" xfId="0" applyNumberFormat="1"/>
    <xf numFmtId="9" fontId="0" fillId="0" borderId="0" xfId="1" applyFont="1"/>
    <xf numFmtId="2" fontId="30" fillId="0" borderId="13" xfId="86" applyNumberFormat="1" applyFont="1" applyBorder="1" applyAlignment="1">
      <alignment horizontal="right"/>
    </xf>
    <xf numFmtId="2" fontId="30" fillId="0" borderId="0" xfId="86" applyNumberFormat="1" applyFont="1" applyAlignment="1">
      <alignment horizontal="right"/>
    </xf>
    <xf numFmtId="2" fontId="30" fillId="0" borderId="14" xfId="86" applyNumberFormat="1" applyFont="1" applyBorder="1" applyAlignment="1">
      <alignment horizontal="right"/>
    </xf>
    <xf numFmtId="2" fontId="30" fillId="0" borderId="16" xfId="86" applyNumberFormat="1" applyFont="1" applyBorder="1" applyAlignment="1">
      <alignment horizontal="right"/>
    </xf>
    <xf numFmtId="2" fontId="30" fillId="0" borderId="15" xfId="86" applyNumberFormat="1" applyFont="1" applyBorder="1" applyAlignment="1">
      <alignment horizontal="right"/>
    </xf>
    <xf numFmtId="174" fontId="0" fillId="0" borderId="0" xfId="84" applyNumberFormat="1" applyFont="1"/>
    <xf numFmtId="0" fontId="21" fillId="25" borderId="0" xfId="0" applyFont="1" applyFill="1" applyAlignment="1">
      <alignment horizontal="left" vertical="center"/>
    </xf>
    <xf numFmtId="0" fontId="20" fillId="0" borderId="0" xfId="0" applyFont="1" applyAlignment="1">
      <alignment horizontal="center"/>
    </xf>
    <xf numFmtId="168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/>
    </xf>
    <xf numFmtId="2" fontId="22" fillId="25" borderId="0" xfId="0" quotePrefix="1" applyNumberFormat="1" applyFont="1" applyFill="1" applyAlignment="1">
      <alignment horizontal="center"/>
    </xf>
    <xf numFmtId="10" fontId="22" fillId="25" borderId="0" xfId="1" applyNumberFormat="1" applyFont="1" applyFill="1" applyAlignment="1">
      <alignment horizontal="center"/>
    </xf>
    <xf numFmtId="0" fontId="22" fillId="26" borderId="17" xfId="0" applyFont="1" applyFill="1" applyBorder="1" applyAlignment="1">
      <alignment horizontal="center" vertical="center" wrapText="1"/>
    </xf>
    <xf numFmtId="0" fontId="23" fillId="28" borderId="18" xfId="0" applyFont="1" applyFill="1" applyBorder="1"/>
    <xf numFmtId="178" fontId="34" fillId="27" borderId="20" xfId="84" applyNumberFormat="1" applyFont="1" applyFill="1" applyBorder="1"/>
    <xf numFmtId="0" fontId="0" fillId="0" borderId="20" xfId="0" applyBorder="1"/>
    <xf numFmtId="178" fontId="0" fillId="0" borderId="0" xfId="0" applyNumberFormat="1"/>
    <xf numFmtId="175" fontId="0" fillId="0" borderId="0" xfId="0" applyNumberFormat="1"/>
    <xf numFmtId="179" fontId="0" fillId="0" borderId="0" xfId="0" applyNumberFormat="1"/>
    <xf numFmtId="0" fontId="21" fillId="27" borderId="0" xfId="0" applyFont="1" applyFill="1" applyAlignment="1">
      <alignment horizontal="center" vertical="center" wrapText="1"/>
    </xf>
    <xf numFmtId="10" fontId="22" fillId="25" borderId="0" xfId="1" quotePrefix="1" applyNumberFormat="1" applyFont="1" applyFill="1" applyAlignment="1">
      <alignment horizontal="center"/>
    </xf>
    <xf numFmtId="1" fontId="0" fillId="0" borderId="0" xfId="0" applyNumberFormat="1"/>
    <xf numFmtId="167" fontId="22" fillId="25" borderId="0" xfId="0" quotePrefix="1" applyNumberFormat="1" applyFont="1" applyFill="1" applyAlignment="1">
      <alignment horizontal="center"/>
    </xf>
    <xf numFmtId="172" fontId="22" fillId="25" borderId="0" xfId="1" quotePrefix="1" applyNumberFormat="1" applyFont="1" applyFill="1" applyAlignment="1">
      <alignment horizontal="center"/>
    </xf>
    <xf numFmtId="1" fontId="20" fillId="0" borderId="0" xfId="0" applyNumberFormat="1" applyFont="1" applyAlignment="1">
      <alignment horizontal="center"/>
    </xf>
    <xf numFmtId="177" fontId="2" fillId="0" borderId="0" xfId="87" applyNumberFormat="1" applyFont="1" applyFill="1" applyBorder="1" applyAlignment="1">
      <alignment horizontal="right" vertical="center"/>
    </xf>
    <xf numFmtId="2" fontId="20" fillId="0" borderId="0" xfId="0" applyNumberFormat="1" applyFont="1" applyAlignment="1">
      <alignment horizontal="center" vertical="center"/>
    </xf>
    <xf numFmtId="2" fontId="0" fillId="27" borderId="0" xfId="84" applyNumberFormat="1" applyFont="1" applyFill="1" applyBorder="1" applyAlignment="1">
      <alignment horizontal="center" vertical="center"/>
    </xf>
    <xf numFmtId="0" fontId="20" fillId="0" borderId="20" xfId="0" applyFont="1" applyBorder="1"/>
    <xf numFmtId="1" fontId="20" fillId="0" borderId="20" xfId="0" applyNumberFormat="1" applyFont="1" applyBorder="1" applyAlignment="1">
      <alignment horizontal="center"/>
    </xf>
    <xf numFmtId="168" fontId="20" fillId="0" borderId="20" xfId="0" applyNumberFormat="1" applyFont="1" applyBorder="1" applyAlignment="1">
      <alignment horizontal="center"/>
    </xf>
    <xf numFmtId="168" fontId="20" fillId="0" borderId="20" xfId="0" applyNumberFormat="1" applyFont="1" applyBorder="1"/>
    <xf numFmtId="10" fontId="22" fillId="25" borderId="20" xfId="1" applyNumberFormat="1" applyFont="1" applyFill="1" applyBorder="1" applyAlignment="1">
      <alignment horizontal="center"/>
    </xf>
    <xf numFmtId="177" fontId="34" fillId="27" borderId="0" xfId="84" applyNumberFormat="1" applyFont="1" applyFill="1" applyBorder="1" applyAlignment="1">
      <alignment horizontal="right" vertical="center" indent="1"/>
    </xf>
    <xf numFmtId="177" fontId="35" fillId="27" borderId="0" xfId="84" applyNumberFormat="1" applyFont="1" applyFill="1" applyBorder="1" applyAlignment="1">
      <alignment horizontal="right" vertical="center" indent="1"/>
    </xf>
    <xf numFmtId="43" fontId="20" fillId="27" borderId="20" xfId="84" applyFont="1" applyFill="1" applyBorder="1" applyAlignment="1">
      <alignment horizontal="center" vertical="center"/>
    </xf>
    <xf numFmtId="43" fontId="20" fillId="0" borderId="20" xfId="84" applyFont="1" applyBorder="1" applyAlignment="1">
      <alignment horizontal="center" vertical="center"/>
    </xf>
    <xf numFmtId="10" fontId="2" fillId="27" borderId="20" xfId="1" applyNumberFormat="1" applyFont="1" applyFill="1" applyBorder="1" applyAlignment="1">
      <alignment horizontal="right" vertical="center" indent="1"/>
    </xf>
    <xf numFmtId="10" fontId="20" fillId="0" borderId="20" xfId="1" applyNumberFormat="1" applyFont="1" applyBorder="1" applyAlignment="1">
      <alignment horizontal="center" vertical="center"/>
    </xf>
    <xf numFmtId="10" fontId="20" fillId="0" borderId="20" xfId="84" applyNumberFormat="1" applyFont="1" applyBorder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22" fillId="26" borderId="22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2" fontId="22" fillId="27" borderId="23" xfId="0" applyNumberFormat="1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2" fontId="22" fillId="0" borderId="23" xfId="0" applyNumberFormat="1" applyFont="1" applyBorder="1" applyAlignment="1">
      <alignment horizontal="center" vertical="center"/>
    </xf>
    <xf numFmtId="0" fontId="20" fillId="27" borderId="23" xfId="0" applyFont="1" applyFill="1" applyBorder="1"/>
    <xf numFmtId="0" fontId="20" fillId="27" borderId="24" xfId="0" applyFont="1" applyFill="1" applyBorder="1"/>
    <xf numFmtId="2" fontId="20" fillId="0" borderId="20" xfId="84" applyNumberFormat="1" applyFont="1" applyBorder="1" applyAlignment="1">
      <alignment horizontal="center" vertical="center"/>
    </xf>
    <xf numFmtId="165" fontId="20" fillId="0" borderId="20" xfId="84" applyNumberFormat="1" applyFont="1" applyBorder="1" applyAlignment="1">
      <alignment horizontal="center" vertical="center"/>
    </xf>
    <xf numFmtId="180" fontId="0" fillId="0" borderId="0" xfId="84" applyNumberFormat="1" applyFont="1"/>
    <xf numFmtId="4" fontId="35" fillId="27" borderId="0" xfId="84" applyNumberFormat="1" applyFont="1" applyFill="1" applyBorder="1" applyAlignment="1">
      <alignment horizontal="right" vertical="center" indent="1"/>
    </xf>
    <xf numFmtId="181" fontId="35" fillId="27" borderId="0" xfId="84" applyNumberFormat="1" applyFont="1" applyFill="1" applyBorder="1" applyAlignment="1">
      <alignment horizontal="right" vertical="center" indent="1"/>
    </xf>
    <xf numFmtId="1" fontId="20" fillId="0" borderId="0" xfId="0" applyNumberFormat="1" applyFont="1"/>
    <xf numFmtId="164" fontId="20" fillId="0" borderId="0" xfId="0" applyNumberFormat="1" applyFont="1"/>
    <xf numFmtId="0" fontId="36" fillId="33" borderId="0" xfId="0" applyFont="1" applyFill="1" applyAlignment="1">
      <alignment horizontal="left" vertical="center" indent="4"/>
    </xf>
    <xf numFmtId="43" fontId="37" fillId="33" borderId="0" xfId="84" applyFont="1" applyFill="1" applyAlignment="1" applyProtection="1">
      <alignment horizontal="right" vertical="center"/>
    </xf>
    <xf numFmtId="0" fontId="36" fillId="33" borderId="0" xfId="0" applyFont="1" applyFill="1" applyAlignment="1">
      <alignment horizontal="center" vertical="center"/>
    </xf>
    <xf numFmtId="180" fontId="0" fillId="0" borderId="0" xfId="0" applyNumberFormat="1"/>
    <xf numFmtId="182" fontId="0" fillId="0" borderId="0" xfId="0" applyNumberFormat="1"/>
    <xf numFmtId="11" fontId="0" fillId="0" borderId="0" xfId="0" applyNumberFormat="1"/>
    <xf numFmtId="183" fontId="0" fillId="0" borderId="0" xfId="0" applyNumberFormat="1"/>
    <xf numFmtId="164" fontId="22" fillId="25" borderId="0" xfId="1" quotePrefix="1" applyNumberFormat="1" applyFont="1" applyFill="1" applyAlignment="1">
      <alignment horizontal="center"/>
    </xf>
    <xf numFmtId="43" fontId="20" fillId="0" borderId="0" xfId="0" applyNumberFormat="1" applyFont="1"/>
    <xf numFmtId="43" fontId="20" fillId="27" borderId="20" xfId="84" applyFont="1" applyFill="1" applyBorder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43" fontId="20" fillId="0" borderId="20" xfId="84" applyFont="1" applyBorder="1" applyAlignment="1">
      <alignment horizontal="right" vertical="center"/>
    </xf>
    <xf numFmtId="0" fontId="3" fillId="30" borderId="12" xfId="85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1" borderId="0" xfId="0" applyFill="1" applyAlignment="1">
      <alignment horizontal="center"/>
    </xf>
    <xf numFmtId="0" fontId="21" fillId="28" borderId="10" xfId="0" applyFont="1" applyFill="1" applyBorder="1" applyAlignment="1">
      <alignment horizontal="center"/>
    </xf>
    <xf numFmtId="0" fontId="21" fillId="28" borderId="21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 vertical="center"/>
    </xf>
    <xf numFmtId="0" fontId="21" fillId="28" borderId="11" xfId="0" applyFont="1" applyFill="1" applyBorder="1" applyAlignment="1">
      <alignment horizontal="center" vertical="center"/>
    </xf>
    <xf numFmtId="0" fontId="21" fillId="28" borderId="19" xfId="0" applyFont="1" applyFill="1" applyBorder="1" applyAlignment="1">
      <alignment horizontal="center" vertical="center"/>
    </xf>
    <xf numFmtId="0" fontId="21" fillId="28" borderId="11" xfId="0" applyFont="1" applyFill="1" applyBorder="1" applyAlignment="1">
      <alignment horizontal="center"/>
    </xf>
    <xf numFmtId="0" fontId="21" fillId="28" borderId="19" xfId="0" applyFont="1" applyFill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10" fontId="0" fillId="0" borderId="28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21" xfId="0" applyBorder="1"/>
  </cellXfs>
  <cellStyles count="88">
    <cellStyle name="20% - Accent1" xfId="3" xr:uid="{72C3A038-EE29-48B0-9B3A-5BFD2303C2B6}"/>
    <cellStyle name="20% - Accent2" xfId="4" xr:uid="{93C711B1-0787-4658-846E-1DA39DE6F498}"/>
    <cellStyle name="20% - Accent3" xfId="5" xr:uid="{62A5389E-283F-42E9-8AFC-1E55D92749CE}"/>
    <cellStyle name="20% - Accent4" xfId="6" xr:uid="{E43E3C84-A8B8-432A-9F4C-B1656C8E0EB6}"/>
    <cellStyle name="20% - Accent5" xfId="7" xr:uid="{E24A90F6-1011-4E02-BB80-AFA3C97B73D2}"/>
    <cellStyle name="20% - Accent6" xfId="8" xr:uid="{7D3E4AD9-BD78-4973-AC94-11F5F6B5886A}"/>
    <cellStyle name="20% - Ênfase1 2" xfId="9" xr:uid="{459F8BBD-2B5C-4B58-BE61-61E141710F5B}"/>
    <cellStyle name="20% - Ênfase2 2" xfId="10" xr:uid="{FB4DC4BC-3615-461E-A89B-1EF87FD7DD8E}"/>
    <cellStyle name="20% - Ênfase3 2" xfId="11" xr:uid="{3C7FD95C-CD42-4C2A-A640-78B24986B3D6}"/>
    <cellStyle name="20% - Ênfase4 2" xfId="12" xr:uid="{3A7930F5-4545-4F9B-A78E-934F61584DED}"/>
    <cellStyle name="20% - Ênfase5 2" xfId="13" xr:uid="{4E50DC95-FB00-4E43-BC2F-1E716817636A}"/>
    <cellStyle name="20% - Ênfase6 2" xfId="14" xr:uid="{E130333C-9723-4A9A-A33E-876D165E6A9B}"/>
    <cellStyle name="40% - Accent1" xfId="15" xr:uid="{75A1115F-F27C-44B1-9E54-D4339155E2EA}"/>
    <cellStyle name="40% - Accent2" xfId="16" xr:uid="{1BFA9EEC-EC91-4824-B56E-347C971662C7}"/>
    <cellStyle name="40% - Accent3" xfId="17" xr:uid="{34CC8F4C-6EA9-4AB9-AB6E-5C9D3ECDDE91}"/>
    <cellStyle name="40% - Accent4" xfId="18" xr:uid="{D85A6FB7-3DF0-43FC-AF2E-8961F9DEE8F4}"/>
    <cellStyle name="40% - Accent5" xfId="19" xr:uid="{F0164FB8-20B4-45D2-9F98-23163F2CB78A}"/>
    <cellStyle name="40% - Accent6" xfId="20" xr:uid="{46BF33BA-8223-4881-87DF-924E26EA006E}"/>
    <cellStyle name="40% - Ênfase1 2" xfId="21" xr:uid="{8F2DB3B0-51A8-4D04-B620-705A82A9DAAC}"/>
    <cellStyle name="40% - Ênfase2 2" xfId="22" xr:uid="{ABF207C4-D02C-45AE-845D-3C22D39A7029}"/>
    <cellStyle name="40% - Ênfase3 2" xfId="23" xr:uid="{35D75562-5AA5-473E-B24F-F8C53398A8EE}"/>
    <cellStyle name="40% - Ênfase4 2" xfId="24" xr:uid="{3923EDEB-7B24-4C88-B6A0-C4F44780F348}"/>
    <cellStyle name="40% - Ênfase5 2" xfId="25" xr:uid="{26772DF0-D167-4C11-8E30-3109322B8403}"/>
    <cellStyle name="40% - Ênfase6 2" xfId="26" xr:uid="{2D2BBD76-99BC-4EF7-957D-629E562F5306}"/>
    <cellStyle name="60% - Accent1" xfId="27" xr:uid="{60E07B8E-EBED-4549-AFD3-AE7C9EC39009}"/>
    <cellStyle name="60% - Accent2" xfId="28" xr:uid="{DBC715F6-A5AD-4738-896B-FA876AFF11DC}"/>
    <cellStyle name="60% - Accent3" xfId="29" xr:uid="{6CDB3424-E161-436B-8420-D6E0C060DC6E}"/>
    <cellStyle name="60% - Accent4" xfId="30" xr:uid="{EA99901F-5FF5-412F-B77C-A407675C4351}"/>
    <cellStyle name="60% - Accent5" xfId="31" xr:uid="{85C17D0D-DCD0-43AD-8781-A8EDBE2E63E5}"/>
    <cellStyle name="60% - Accent6" xfId="32" xr:uid="{21FF539B-BA69-4ABE-ACF0-5424A8C1E69A}"/>
    <cellStyle name="60% - Ênfase1 2" xfId="33" xr:uid="{DD00B103-67B1-4064-B438-D6303DE99B0E}"/>
    <cellStyle name="60% - Ênfase2 2" xfId="34" xr:uid="{950AFCA4-9471-4E4B-B4D9-7FB0DBB11470}"/>
    <cellStyle name="60% - Ênfase3 2" xfId="35" xr:uid="{F382412A-B6D9-47DA-9CCD-A7DA441307D6}"/>
    <cellStyle name="60% - Ênfase4 2" xfId="36" xr:uid="{569F93FC-5E3A-46A7-B135-1E624B48AC5E}"/>
    <cellStyle name="60% - Ênfase5 2" xfId="37" xr:uid="{90C1FF62-67A0-42CB-928A-9D29F44CFD13}"/>
    <cellStyle name="60% - Ênfase6 2" xfId="38" xr:uid="{23516DA8-C75F-4CB3-8D4F-0A4C6BAF0193}"/>
    <cellStyle name="Accent1" xfId="39" xr:uid="{86590FF3-3F15-4416-A0A1-31D21E08A113}"/>
    <cellStyle name="Accent2" xfId="40" xr:uid="{57034BBF-554F-417A-9189-21FFEB942F1F}"/>
    <cellStyle name="Accent3" xfId="41" xr:uid="{B0C33508-E1EB-4D5A-9C27-7C1D8C5DF8F5}"/>
    <cellStyle name="Accent4" xfId="42" xr:uid="{FD62428D-F565-4B3F-9EA2-2DC890134307}"/>
    <cellStyle name="Accent5" xfId="43" xr:uid="{C0F00CFB-03B1-4E5F-9C86-102A1F23F6B3}"/>
    <cellStyle name="Accent6" xfId="44" xr:uid="{788F7B42-56A8-4A67-9E86-8E662D6FB014}"/>
    <cellStyle name="Bad" xfId="45" xr:uid="{89324484-2AB2-46C6-AEA1-F1F755BBB062}"/>
    <cellStyle name="Bom 2" xfId="46" xr:uid="{071ABC2D-8A92-47CF-A974-271EDA91A31B}"/>
    <cellStyle name="Calculation" xfId="47" xr:uid="{71FE598A-6BDE-442B-9738-4EA7C491F7BC}"/>
    <cellStyle name="Cálculo 2" xfId="48" xr:uid="{83299D89-16CC-4CC5-80BC-B252172A373B}"/>
    <cellStyle name="Célula de Verificação 2" xfId="49" xr:uid="{E68D99F0-DA56-4B67-A2F1-FD3CD5E16E8A}"/>
    <cellStyle name="Célula Vinculada 2" xfId="50" xr:uid="{B901143F-9C00-4791-BA92-2135F62CBA8B}"/>
    <cellStyle name="Check Cell" xfId="51" xr:uid="{581D2F3F-E101-4DB8-A224-9EB750642BD8}"/>
    <cellStyle name="Ênfase1 2" xfId="52" xr:uid="{E0D33F85-0640-453F-9151-F340C97797A7}"/>
    <cellStyle name="Ênfase2 2" xfId="53" xr:uid="{20537EC1-B24C-47AC-B9D8-6D72CAA79368}"/>
    <cellStyle name="Ênfase3 2" xfId="54" xr:uid="{49219E1B-2738-4A23-9553-354BF9AD5C77}"/>
    <cellStyle name="Ênfase4 2" xfId="55" xr:uid="{E0ADB5FC-728E-4A58-9D65-E798EB488FCF}"/>
    <cellStyle name="Ênfase5 2" xfId="56" xr:uid="{BD1B158F-088F-4486-A65B-DDEF928B08C6}"/>
    <cellStyle name="Ênfase6 2" xfId="57" xr:uid="{04FAE13F-971B-4271-BAEB-C0677CEE282D}"/>
    <cellStyle name="Entrada 2" xfId="58" xr:uid="{77EF6797-0784-4E34-9CB2-3E9470635D4B}"/>
    <cellStyle name="Explanatory Text" xfId="59" xr:uid="{49E04FCA-6264-45ED-9D0A-53C7FE496D53}"/>
    <cellStyle name="Good" xfId="60" xr:uid="{35EA2EEB-6F21-42CD-B23C-35716FD6ED37}"/>
    <cellStyle name="Heading 1" xfId="61" xr:uid="{2AAC85D1-4F5D-488C-A45E-0DD7BDC9854B}"/>
    <cellStyle name="Heading 2" xfId="62" xr:uid="{3D0A3398-B456-46E6-BED5-1AFFEC859767}"/>
    <cellStyle name="Heading 3" xfId="63" xr:uid="{2B769F14-F643-4721-AA92-EF48D4101D43}"/>
    <cellStyle name="Heading 4" xfId="64" xr:uid="{0535B174-52D2-4AAD-BD85-3D2CEF34EC78}"/>
    <cellStyle name="Input" xfId="65" xr:uid="{BEA20F92-B2CC-42A6-A890-ADFE3C36D04D}"/>
    <cellStyle name="Linked Cell" xfId="66" xr:uid="{75C67407-0ED8-45BE-8D3A-ED89CE36FED9}"/>
    <cellStyle name="Neutral" xfId="67" xr:uid="{C83604D3-AF1B-4221-A8B5-89EDA04B1D95}"/>
    <cellStyle name="Normal" xfId="0" builtinId="0"/>
    <cellStyle name="Normal 2" xfId="68" xr:uid="{19E2220A-3101-43FC-BFE4-29EEDB00D036}"/>
    <cellStyle name="Normal 3" xfId="2" xr:uid="{CBBDDE9B-CAEC-406D-A6BD-9D1840AE6935}"/>
    <cellStyle name="Normal 7" xfId="83" xr:uid="{6AD0C05C-2680-493A-A731-B8C573F815A7}"/>
    <cellStyle name="Normal_Gastos do Governo" xfId="85" xr:uid="{B8E37DFA-1378-4D7E-8045-BB07FC43D283}"/>
    <cellStyle name="Normal_ipca_201707SerieHist" xfId="86" xr:uid="{27DEB9A1-D431-41DD-A839-639C5E2597D5}"/>
    <cellStyle name="Nota 2" xfId="69" xr:uid="{DE6DA327-5465-41F2-B34A-4064AD483DE4}"/>
    <cellStyle name="Note" xfId="70" xr:uid="{5EE2E826-DEB0-40A4-8B88-199B3E958212}"/>
    <cellStyle name="Output" xfId="71" xr:uid="{A4AB9E56-CEB1-4838-AE94-A1CB20A3B825}"/>
    <cellStyle name="Porcentagem" xfId="1" builtinId="5"/>
    <cellStyle name="Saída 2" xfId="72" xr:uid="{773431ED-52FF-486B-ACD9-75BF36EC35B9}"/>
    <cellStyle name="Separador de milhares 2" xfId="87" xr:uid="{4E095A4D-4069-4B93-B53F-C36D777BA7C4}"/>
    <cellStyle name="Texto de Aviso 2" xfId="73" xr:uid="{2570FF1F-3252-4301-9071-FC109EC44DE4}"/>
    <cellStyle name="Texto Explicativo 2" xfId="74" xr:uid="{87C19847-34D7-4DC7-B368-EB7A12702B76}"/>
    <cellStyle name="Title" xfId="75" xr:uid="{D723C08F-425F-4D46-BD3A-6B9AE9469DF9}"/>
    <cellStyle name="Título 1 2" xfId="77" xr:uid="{CA45CB9C-BB75-40FC-BF8D-77EE88EFA184}"/>
    <cellStyle name="Título 2 2" xfId="78" xr:uid="{66A7DB43-EFD3-4367-A2B1-1D83E58ECB42}"/>
    <cellStyle name="Título 3 2" xfId="79" xr:uid="{F6532672-88E1-4CDA-AB38-B0FC6B511CBD}"/>
    <cellStyle name="Título 4 2" xfId="80" xr:uid="{B07EE058-0B0D-46BE-909C-D84DB5AD5808}"/>
    <cellStyle name="Título 5" xfId="76" xr:uid="{4B936904-8670-4BD5-8171-8FBD99204368}"/>
    <cellStyle name="Total 2" xfId="81" xr:uid="{A8B6627B-1226-48CB-B858-BE9F60F415BF}"/>
    <cellStyle name="Vírgula" xfId="84" builtinId="3"/>
    <cellStyle name="Warning Text" xfId="82" xr:uid="{E71523AF-15F1-4491-9EA6-37F0B1F69232}"/>
  </cellStyles>
  <dxfs count="0"/>
  <tableStyles count="1" defaultTableStyle="TableStyleMedium2" defaultPivotStyle="PivotStyleLight16">
    <tableStyle name="Invisible" pivot="0" table="0" count="0" xr9:uid="{893E11C0-A685-48BE-9855-8C90FE2E4F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'PMC-Potencial'!$A$13:$A$240</c:f>
              <c:numCache>
                <c:formatCode>mmm\-yy</c:formatCode>
                <c:ptCount val="228"/>
                <c:pt idx="0">
                  <c:v>38322</c:v>
                </c:pt>
                <c:pt idx="1">
                  <c:v>38353</c:v>
                </c:pt>
                <c:pt idx="2">
                  <c:v>38384</c:v>
                </c:pt>
                <c:pt idx="3">
                  <c:v>38412</c:v>
                </c:pt>
                <c:pt idx="4">
                  <c:v>38443</c:v>
                </c:pt>
                <c:pt idx="5">
                  <c:v>38473</c:v>
                </c:pt>
                <c:pt idx="6">
                  <c:v>38504</c:v>
                </c:pt>
                <c:pt idx="7">
                  <c:v>38534</c:v>
                </c:pt>
                <c:pt idx="8">
                  <c:v>38565</c:v>
                </c:pt>
                <c:pt idx="9">
                  <c:v>38596</c:v>
                </c:pt>
                <c:pt idx="10">
                  <c:v>38626</c:v>
                </c:pt>
                <c:pt idx="11">
                  <c:v>38657</c:v>
                </c:pt>
                <c:pt idx="12">
                  <c:v>38687</c:v>
                </c:pt>
                <c:pt idx="13">
                  <c:v>38718</c:v>
                </c:pt>
                <c:pt idx="14">
                  <c:v>38749</c:v>
                </c:pt>
                <c:pt idx="15">
                  <c:v>38777</c:v>
                </c:pt>
                <c:pt idx="16">
                  <c:v>38808</c:v>
                </c:pt>
                <c:pt idx="17">
                  <c:v>38838</c:v>
                </c:pt>
                <c:pt idx="18">
                  <c:v>38869</c:v>
                </c:pt>
                <c:pt idx="19">
                  <c:v>38899</c:v>
                </c:pt>
                <c:pt idx="20">
                  <c:v>38930</c:v>
                </c:pt>
                <c:pt idx="21">
                  <c:v>38961</c:v>
                </c:pt>
                <c:pt idx="22">
                  <c:v>38991</c:v>
                </c:pt>
                <c:pt idx="23">
                  <c:v>39022</c:v>
                </c:pt>
                <c:pt idx="24">
                  <c:v>39052</c:v>
                </c:pt>
                <c:pt idx="25">
                  <c:v>39083</c:v>
                </c:pt>
                <c:pt idx="26">
                  <c:v>39114</c:v>
                </c:pt>
                <c:pt idx="27">
                  <c:v>39142</c:v>
                </c:pt>
                <c:pt idx="28">
                  <c:v>39173</c:v>
                </c:pt>
                <c:pt idx="29">
                  <c:v>39203</c:v>
                </c:pt>
                <c:pt idx="30">
                  <c:v>39234</c:v>
                </c:pt>
                <c:pt idx="31">
                  <c:v>39264</c:v>
                </c:pt>
                <c:pt idx="32">
                  <c:v>39295</c:v>
                </c:pt>
                <c:pt idx="33">
                  <c:v>39326</c:v>
                </c:pt>
                <c:pt idx="34">
                  <c:v>39356</c:v>
                </c:pt>
                <c:pt idx="35">
                  <c:v>39387</c:v>
                </c:pt>
                <c:pt idx="36">
                  <c:v>39417</c:v>
                </c:pt>
                <c:pt idx="37">
                  <c:v>39448</c:v>
                </c:pt>
                <c:pt idx="38">
                  <c:v>39479</c:v>
                </c:pt>
                <c:pt idx="39">
                  <c:v>39508</c:v>
                </c:pt>
                <c:pt idx="40">
                  <c:v>39539</c:v>
                </c:pt>
                <c:pt idx="41">
                  <c:v>39569</c:v>
                </c:pt>
                <c:pt idx="42">
                  <c:v>39600</c:v>
                </c:pt>
                <c:pt idx="43">
                  <c:v>39630</c:v>
                </c:pt>
                <c:pt idx="44">
                  <c:v>39661</c:v>
                </c:pt>
                <c:pt idx="45">
                  <c:v>39692</c:v>
                </c:pt>
                <c:pt idx="46">
                  <c:v>39722</c:v>
                </c:pt>
                <c:pt idx="47">
                  <c:v>39753</c:v>
                </c:pt>
                <c:pt idx="48">
                  <c:v>39783</c:v>
                </c:pt>
                <c:pt idx="49">
                  <c:v>39814</c:v>
                </c:pt>
                <c:pt idx="50">
                  <c:v>39845</c:v>
                </c:pt>
                <c:pt idx="51">
                  <c:v>39873</c:v>
                </c:pt>
                <c:pt idx="52">
                  <c:v>39904</c:v>
                </c:pt>
                <c:pt idx="53">
                  <c:v>39934</c:v>
                </c:pt>
                <c:pt idx="54">
                  <c:v>39965</c:v>
                </c:pt>
                <c:pt idx="55">
                  <c:v>39995</c:v>
                </c:pt>
                <c:pt idx="56">
                  <c:v>40026</c:v>
                </c:pt>
                <c:pt idx="57">
                  <c:v>40057</c:v>
                </c:pt>
                <c:pt idx="58">
                  <c:v>40087</c:v>
                </c:pt>
                <c:pt idx="59">
                  <c:v>40118</c:v>
                </c:pt>
                <c:pt idx="60">
                  <c:v>40148</c:v>
                </c:pt>
                <c:pt idx="61">
                  <c:v>40179</c:v>
                </c:pt>
                <c:pt idx="62">
                  <c:v>40210</c:v>
                </c:pt>
                <c:pt idx="63">
                  <c:v>40238</c:v>
                </c:pt>
                <c:pt idx="64">
                  <c:v>40269</c:v>
                </c:pt>
                <c:pt idx="65">
                  <c:v>40299</c:v>
                </c:pt>
                <c:pt idx="66">
                  <c:v>40330</c:v>
                </c:pt>
                <c:pt idx="67">
                  <c:v>40360</c:v>
                </c:pt>
                <c:pt idx="68">
                  <c:v>40391</c:v>
                </c:pt>
                <c:pt idx="69">
                  <c:v>40422</c:v>
                </c:pt>
                <c:pt idx="70">
                  <c:v>40452</c:v>
                </c:pt>
                <c:pt idx="71">
                  <c:v>40483</c:v>
                </c:pt>
                <c:pt idx="72">
                  <c:v>40513</c:v>
                </c:pt>
                <c:pt idx="73">
                  <c:v>40544</c:v>
                </c:pt>
                <c:pt idx="74">
                  <c:v>40575</c:v>
                </c:pt>
                <c:pt idx="75">
                  <c:v>40603</c:v>
                </c:pt>
                <c:pt idx="76">
                  <c:v>40634</c:v>
                </c:pt>
                <c:pt idx="77">
                  <c:v>40664</c:v>
                </c:pt>
                <c:pt idx="78">
                  <c:v>40695</c:v>
                </c:pt>
                <c:pt idx="79">
                  <c:v>40725</c:v>
                </c:pt>
                <c:pt idx="80">
                  <c:v>40756</c:v>
                </c:pt>
                <c:pt idx="81">
                  <c:v>40787</c:v>
                </c:pt>
                <c:pt idx="82">
                  <c:v>40817</c:v>
                </c:pt>
                <c:pt idx="83">
                  <c:v>40848</c:v>
                </c:pt>
                <c:pt idx="84">
                  <c:v>40878</c:v>
                </c:pt>
                <c:pt idx="85">
                  <c:v>40909</c:v>
                </c:pt>
                <c:pt idx="86">
                  <c:v>40940</c:v>
                </c:pt>
                <c:pt idx="87">
                  <c:v>40969</c:v>
                </c:pt>
                <c:pt idx="88">
                  <c:v>41000</c:v>
                </c:pt>
                <c:pt idx="89">
                  <c:v>41030</c:v>
                </c:pt>
                <c:pt idx="90">
                  <c:v>41061</c:v>
                </c:pt>
                <c:pt idx="91">
                  <c:v>41091</c:v>
                </c:pt>
                <c:pt idx="92">
                  <c:v>41122</c:v>
                </c:pt>
                <c:pt idx="93">
                  <c:v>41153</c:v>
                </c:pt>
                <c:pt idx="94">
                  <c:v>41183</c:v>
                </c:pt>
                <c:pt idx="95">
                  <c:v>41214</c:v>
                </c:pt>
                <c:pt idx="96">
                  <c:v>41244</c:v>
                </c:pt>
                <c:pt idx="97">
                  <c:v>41275</c:v>
                </c:pt>
                <c:pt idx="98">
                  <c:v>41306</c:v>
                </c:pt>
                <c:pt idx="99">
                  <c:v>41334</c:v>
                </c:pt>
                <c:pt idx="100">
                  <c:v>41365</c:v>
                </c:pt>
                <c:pt idx="101">
                  <c:v>41395</c:v>
                </c:pt>
                <c:pt idx="102">
                  <c:v>41426</c:v>
                </c:pt>
                <c:pt idx="103">
                  <c:v>41456</c:v>
                </c:pt>
                <c:pt idx="104">
                  <c:v>41487</c:v>
                </c:pt>
                <c:pt idx="105">
                  <c:v>41518</c:v>
                </c:pt>
                <c:pt idx="106">
                  <c:v>41548</c:v>
                </c:pt>
                <c:pt idx="107">
                  <c:v>41579</c:v>
                </c:pt>
                <c:pt idx="108">
                  <c:v>41609</c:v>
                </c:pt>
                <c:pt idx="109">
                  <c:v>41640</c:v>
                </c:pt>
                <c:pt idx="110">
                  <c:v>41671</c:v>
                </c:pt>
                <c:pt idx="111">
                  <c:v>41699</c:v>
                </c:pt>
                <c:pt idx="112">
                  <c:v>41730</c:v>
                </c:pt>
                <c:pt idx="113">
                  <c:v>41760</c:v>
                </c:pt>
                <c:pt idx="114">
                  <c:v>41791</c:v>
                </c:pt>
                <c:pt idx="115">
                  <c:v>41821</c:v>
                </c:pt>
                <c:pt idx="116">
                  <c:v>41852</c:v>
                </c:pt>
                <c:pt idx="117">
                  <c:v>41883</c:v>
                </c:pt>
                <c:pt idx="118">
                  <c:v>41913</c:v>
                </c:pt>
                <c:pt idx="119">
                  <c:v>41944</c:v>
                </c:pt>
                <c:pt idx="120">
                  <c:v>41974</c:v>
                </c:pt>
                <c:pt idx="121">
                  <c:v>42005</c:v>
                </c:pt>
                <c:pt idx="122">
                  <c:v>42036</c:v>
                </c:pt>
                <c:pt idx="123">
                  <c:v>42064</c:v>
                </c:pt>
                <c:pt idx="124">
                  <c:v>42095</c:v>
                </c:pt>
                <c:pt idx="125">
                  <c:v>42125</c:v>
                </c:pt>
                <c:pt idx="126">
                  <c:v>42156</c:v>
                </c:pt>
                <c:pt idx="127">
                  <c:v>42186</c:v>
                </c:pt>
                <c:pt idx="128">
                  <c:v>42217</c:v>
                </c:pt>
                <c:pt idx="129">
                  <c:v>42248</c:v>
                </c:pt>
                <c:pt idx="130">
                  <c:v>42278</c:v>
                </c:pt>
                <c:pt idx="131">
                  <c:v>42309</c:v>
                </c:pt>
                <c:pt idx="132">
                  <c:v>42339</c:v>
                </c:pt>
                <c:pt idx="133">
                  <c:v>42370</c:v>
                </c:pt>
                <c:pt idx="134">
                  <c:v>42401</c:v>
                </c:pt>
                <c:pt idx="135">
                  <c:v>42430</c:v>
                </c:pt>
                <c:pt idx="136">
                  <c:v>42461</c:v>
                </c:pt>
                <c:pt idx="137">
                  <c:v>42491</c:v>
                </c:pt>
                <c:pt idx="138">
                  <c:v>42522</c:v>
                </c:pt>
                <c:pt idx="139">
                  <c:v>42552</c:v>
                </c:pt>
                <c:pt idx="140">
                  <c:v>42583</c:v>
                </c:pt>
                <c:pt idx="141">
                  <c:v>42614</c:v>
                </c:pt>
                <c:pt idx="142">
                  <c:v>42644</c:v>
                </c:pt>
                <c:pt idx="143">
                  <c:v>42675</c:v>
                </c:pt>
                <c:pt idx="144">
                  <c:v>42705</c:v>
                </c:pt>
                <c:pt idx="145">
                  <c:v>42736</c:v>
                </c:pt>
                <c:pt idx="146">
                  <c:v>42767</c:v>
                </c:pt>
                <c:pt idx="147">
                  <c:v>42795</c:v>
                </c:pt>
                <c:pt idx="148">
                  <c:v>42826</c:v>
                </c:pt>
                <c:pt idx="149">
                  <c:v>42856</c:v>
                </c:pt>
                <c:pt idx="150">
                  <c:v>42887</c:v>
                </c:pt>
                <c:pt idx="151">
                  <c:v>42917</c:v>
                </c:pt>
                <c:pt idx="152">
                  <c:v>42948</c:v>
                </c:pt>
                <c:pt idx="153">
                  <c:v>42979</c:v>
                </c:pt>
                <c:pt idx="154">
                  <c:v>43009</c:v>
                </c:pt>
                <c:pt idx="155">
                  <c:v>43040</c:v>
                </c:pt>
                <c:pt idx="156">
                  <c:v>43070</c:v>
                </c:pt>
                <c:pt idx="157">
                  <c:v>43101</c:v>
                </c:pt>
                <c:pt idx="158">
                  <c:v>43132</c:v>
                </c:pt>
                <c:pt idx="159">
                  <c:v>43160</c:v>
                </c:pt>
                <c:pt idx="160">
                  <c:v>43191</c:v>
                </c:pt>
                <c:pt idx="161">
                  <c:v>43221</c:v>
                </c:pt>
                <c:pt idx="162">
                  <c:v>43252</c:v>
                </c:pt>
                <c:pt idx="163">
                  <c:v>43282</c:v>
                </c:pt>
                <c:pt idx="164">
                  <c:v>43313</c:v>
                </c:pt>
                <c:pt idx="165">
                  <c:v>43344</c:v>
                </c:pt>
                <c:pt idx="166">
                  <c:v>43374</c:v>
                </c:pt>
                <c:pt idx="167">
                  <c:v>43405</c:v>
                </c:pt>
                <c:pt idx="168">
                  <c:v>43435</c:v>
                </c:pt>
                <c:pt idx="169">
                  <c:v>43466</c:v>
                </c:pt>
                <c:pt idx="170">
                  <c:v>43497</c:v>
                </c:pt>
                <c:pt idx="171">
                  <c:v>43525</c:v>
                </c:pt>
                <c:pt idx="172">
                  <c:v>43556</c:v>
                </c:pt>
                <c:pt idx="173">
                  <c:v>43586</c:v>
                </c:pt>
                <c:pt idx="174">
                  <c:v>43617</c:v>
                </c:pt>
                <c:pt idx="175">
                  <c:v>43647</c:v>
                </c:pt>
                <c:pt idx="176">
                  <c:v>43678</c:v>
                </c:pt>
                <c:pt idx="177">
                  <c:v>43709</c:v>
                </c:pt>
                <c:pt idx="178">
                  <c:v>43739</c:v>
                </c:pt>
                <c:pt idx="179">
                  <c:v>43770</c:v>
                </c:pt>
                <c:pt idx="180">
                  <c:v>43800</c:v>
                </c:pt>
                <c:pt idx="181">
                  <c:v>43831</c:v>
                </c:pt>
                <c:pt idx="182">
                  <c:v>43862</c:v>
                </c:pt>
                <c:pt idx="183">
                  <c:v>43891</c:v>
                </c:pt>
                <c:pt idx="184">
                  <c:v>43922</c:v>
                </c:pt>
                <c:pt idx="185">
                  <c:v>43952</c:v>
                </c:pt>
                <c:pt idx="186">
                  <c:v>43983</c:v>
                </c:pt>
                <c:pt idx="187">
                  <c:v>44013</c:v>
                </c:pt>
                <c:pt idx="188">
                  <c:v>44044</c:v>
                </c:pt>
                <c:pt idx="189">
                  <c:v>44075</c:v>
                </c:pt>
                <c:pt idx="190">
                  <c:v>44105</c:v>
                </c:pt>
                <c:pt idx="191">
                  <c:v>44136</c:v>
                </c:pt>
                <c:pt idx="192">
                  <c:v>44166</c:v>
                </c:pt>
                <c:pt idx="193">
                  <c:v>44197</c:v>
                </c:pt>
                <c:pt idx="194">
                  <c:v>44228</c:v>
                </c:pt>
                <c:pt idx="195">
                  <c:v>44256</c:v>
                </c:pt>
                <c:pt idx="196">
                  <c:v>44287</c:v>
                </c:pt>
                <c:pt idx="197">
                  <c:v>44317</c:v>
                </c:pt>
                <c:pt idx="198">
                  <c:v>44348</c:v>
                </c:pt>
                <c:pt idx="199">
                  <c:v>44378</c:v>
                </c:pt>
                <c:pt idx="200">
                  <c:v>44409</c:v>
                </c:pt>
                <c:pt idx="201">
                  <c:v>44440</c:v>
                </c:pt>
                <c:pt idx="202">
                  <c:v>44470</c:v>
                </c:pt>
                <c:pt idx="203">
                  <c:v>44501</c:v>
                </c:pt>
                <c:pt idx="204">
                  <c:v>44531</c:v>
                </c:pt>
                <c:pt idx="205">
                  <c:v>44562</c:v>
                </c:pt>
                <c:pt idx="206">
                  <c:v>44593</c:v>
                </c:pt>
                <c:pt idx="207">
                  <c:v>44621</c:v>
                </c:pt>
                <c:pt idx="208">
                  <c:v>44652</c:v>
                </c:pt>
                <c:pt idx="209">
                  <c:v>44682</c:v>
                </c:pt>
                <c:pt idx="210">
                  <c:v>44713</c:v>
                </c:pt>
                <c:pt idx="211">
                  <c:v>44743</c:v>
                </c:pt>
                <c:pt idx="212">
                  <c:v>44774</c:v>
                </c:pt>
                <c:pt idx="213">
                  <c:v>44805</c:v>
                </c:pt>
                <c:pt idx="214">
                  <c:v>44835</c:v>
                </c:pt>
                <c:pt idx="215">
                  <c:v>44866</c:v>
                </c:pt>
                <c:pt idx="216">
                  <c:v>44896</c:v>
                </c:pt>
                <c:pt idx="217">
                  <c:v>44927</c:v>
                </c:pt>
                <c:pt idx="218">
                  <c:v>44958</c:v>
                </c:pt>
                <c:pt idx="219">
                  <c:v>44986</c:v>
                </c:pt>
                <c:pt idx="220">
                  <c:v>45017</c:v>
                </c:pt>
                <c:pt idx="221">
                  <c:v>45047</c:v>
                </c:pt>
                <c:pt idx="222">
                  <c:v>45078</c:v>
                </c:pt>
                <c:pt idx="223">
                  <c:v>45108</c:v>
                </c:pt>
                <c:pt idx="224">
                  <c:v>45139</c:v>
                </c:pt>
                <c:pt idx="225">
                  <c:v>45170</c:v>
                </c:pt>
                <c:pt idx="226">
                  <c:v>45200</c:v>
                </c:pt>
                <c:pt idx="227">
                  <c:v>45231</c:v>
                </c:pt>
              </c:numCache>
            </c:numRef>
          </c:cat>
          <c:val>
            <c:numRef>
              <c:f>'PMC-Potencial'!$C$13:$C$240</c:f>
              <c:numCache>
                <c:formatCode>General</c:formatCode>
                <c:ptCount val="228"/>
                <c:pt idx="0">
                  <c:v>312.45168000000001</c:v>
                </c:pt>
                <c:pt idx="1">
                  <c:v>315.97696999999999</c:v>
                </c:pt>
                <c:pt idx="2">
                  <c:v>318.20346999999998</c:v>
                </c:pt>
                <c:pt idx="3">
                  <c:v>320.15165999999994</c:v>
                </c:pt>
                <c:pt idx="4">
                  <c:v>321.63598999999999</c:v>
                </c:pt>
                <c:pt idx="5">
                  <c:v>322.05345</c:v>
                </c:pt>
                <c:pt idx="6">
                  <c:v>322.65646000000004</c:v>
                </c:pt>
                <c:pt idx="7">
                  <c:v>322.09983</c:v>
                </c:pt>
                <c:pt idx="8">
                  <c:v>321.86790000000002</c:v>
                </c:pt>
                <c:pt idx="9">
                  <c:v>320.84742</c:v>
                </c:pt>
                <c:pt idx="10">
                  <c:v>319.08476999999999</c:v>
                </c:pt>
                <c:pt idx="11">
                  <c:v>318.52813999999995</c:v>
                </c:pt>
                <c:pt idx="12">
                  <c:v>316.81187999999997</c:v>
                </c:pt>
                <c:pt idx="13">
                  <c:v>315.74502000000001</c:v>
                </c:pt>
                <c:pt idx="14">
                  <c:v>314.81731000000002</c:v>
                </c:pt>
                <c:pt idx="15">
                  <c:v>314.72454000000005</c:v>
                </c:pt>
                <c:pt idx="16">
                  <c:v>314.53899999999999</c:v>
                </c:pt>
                <c:pt idx="17">
                  <c:v>315.93056000000001</c:v>
                </c:pt>
                <c:pt idx="18">
                  <c:v>315.09562</c:v>
                </c:pt>
                <c:pt idx="19">
                  <c:v>315.37393000000003</c:v>
                </c:pt>
                <c:pt idx="20">
                  <c:v>316.25524999999999</c:v>
                </c:pt>
                <c:pt idx="21">
                  <c:v>318.15705000000003</c:v>
                </c:pt>
                <c:pt idx="22">
                  <c:v>319.91969999999998</c:v>
                </c:pt>
                <c:pt idx="23">
                  <c:v>320.84741000000002</c:v>
                </c:pt>
                <c:pt idx="24">
                  <c:v>321.82150000000001</c:v>
                </c:pt>
                <c:pt idx="25">
                  <c:v>323.76967999999999</c:v>
                </c:pt>
                <c:pt idx="26">
                  <c:v>325.34677999999997</c:v>
                </c:pt>
                <c:pt idx="27">
                  <c:v>327.34134999999998</c:v>
                </c:pt>
                <c:pt idx="28">
                  <c:v>329.79976999999997</c:v>
                </c:pt>
                <c:pt idx="29">
                  <c:v>332.72205000000002</c:v>
                </c:pt>
                <c:pt idx="30">
                  <c:v>336.38650000000001</c:v>
                </c:pt>
                <c:pt idx="31">
                  <c:v>339.44794000000002</c:v>
                </c:pt>
                <c:pt idx="32">
                  <c:v>344.04009000000002</c:v>
                </c:pt>
                <c:pt idx="33">
                  <c:v>347.19429000000002</c:v>
                </c:pt>
                <c:pt idx="34">
                  <c:v>352.71413999999999</c:v>
                </c:pt>
                <c:pt idx="35">
                  <c:v>357.90930000000003</c:v>
                </c:pt>
                <c:pt idx="36">
                  <c:v>362.22314</c:v>
                </c:pt>
                <c:pt idx="37">
                  <c:v>366.25866000000002</c:v>
                </c:pt>
                <c:pt idx="38">
                  <c:v>371.63936000000001</c:v>
                </c:pt>
                <c:pt idx="39">
                  <c:v>375.90681000000006</c:v>
                </c:pt>
                <c:pt idx="40">
                  <c:v>381.47305000000006</c:v>
                </c:pt>
                <c:pt idx="41">
                  <c:v>386.11158</c:v>
                </c:pt>
                <c:pt idx="42">
                  <c:v>391.90974</c:v>
                </c:pt>
                <c:pt idx="43">
                  <c:v>398.17176000000001</c:v>
                </c:pt>
                <c:pt idx="44">
                  <c:v>401.74342999999999</c:v>
                </c:pt>
                <c:pt idx="45">
                  <c:v>407.44882999999999</c:v>
                </c:pt>
                <c:pt idx="46">
                  <c:v>410.60304000000002</c:v>
                </c:pt>
                <c:pt idx="47">
                  <c:v>411.71629000000001</c:v>
                </c:pt>
                <c:pt idx="48">
                  <c:v>413.71086000000003</c:v>
                </c:pt>
                <c:pt idx="49">
                  <c:v>415.24158</c:v>
                </c:pt>
                <c:pt idx="50">
                  <c:v>415.70542999999998</c:v>
                </c:pt>
                <c:pt idx="51">
                  <c:v>418.16384999999997</c:v>
                </c:pt>
                <c:pt idx="52">
                  <c:v>418.25662999999997</c:v>
                </c:pt>
                <c:pt idx="53">
                  <c:v>418.90602999999999</c:v>
                </c:pt>
                <c:pt idx="54">
                  <c:v>420.85421999999994</c:v>
                </c:pt>
                <c:pt idx="55">
                  <c:v>420.48312999999996</c:v>
                </c:pt>
                <c:pt idx="56">
                  <c:v>420.76144999999997</c:v>
                </c:pt>
                <c:pt idx="57">
                  <c:v>422.43132000000003</c:v>
                </c:pt>
                <c:pt idx="58">
                  <c:v>424.79696999999999</c:v>
                </c:pt>
                <c:pt idx="59">
                  <c:v>428.50779</c:v>
                </c:pt>
                <c:pt idx="60">
                  <c:v>435.18727999999999</c:v>
                </c:pt>
                <c:pt idx="61">
                  <c:v>438.6198</c:v>
                </c:pt>
                <c:pt idx="62">
                  <c:v>442.51616999999999</c:v>
                </c:pt>
                <c:pt idx="63">
                  <c:v>450.03059999999999</c:v>
                </c:pt>
                <c:pt idx="64">
                  <c:v>454.99383</c:v>
                </c:pt>
                <c:pt idx="65">
                  <c:v>459.81791000000004</c:v>
                </c:pt>
                <c:pt idx="66">
                  <c:v>463.76065999999997</c:v>
                </c:pt>
                <c:pt idx="67">
                  <c:v>470.16184000000004</c:v>
                </c:pt>
                <c:pt idx="68">
                  <c:v>477.25879000000003</c:v>
                </c:pt>
                <c:pt idx="69">
                  <c:v>482.03647999999998</c:v>
                </c:pt>
                <c:pt idx="70">
                  <c:v>487.97379999999998</c:v>
                </c:pt>
                <c:pt idx="71">
                  <c:v>496.27677999999997</c:v>
                </c:pt>
                <c:pt idx="72">
                  <c:v>505.13638000000003</c:v>
                </c:pt>
                <c:pt idx="73">
                  <c:v>510.56346000000002</c:v>
                </c:pt>
                <c:pt idx="74">
                  <c:v>517.52125999999998</c:v>
                </c:pt>
                <c:pt idx="75">
                  <c:v>519.05196999999998</c:v>
                </c:pt>
                <c:pt idx="76">
                  <c:v>524.47904999999992</c:v>
                </c:pt>
                <c:pt idx="77">
                  <c:v>530.04529000000002</c:v>
                </c:pt>
                <c:pt idx="78">
                  <c:v>535.33321999999998</c:v>
                </c:pt>
                <c:pt idx="79">
                  <c:v>539.13682000000006</c:v>
                </c:pt>
                <c:pt idx="80">
                  <c:v>543.31150000000002</c:v>
                </c:pt>
                <c:pt idx="81">
                  <c:v>546.88318000000004</c:v>
                </c:pt>
                <c:pt idx="82">
                  <c:v>549.43438000000003</c:v>
                </c:pt>
                <c:pt idx="83">
                  <c:v>551.93918999999994</c:v>
                </c:pt>
                <c:pt idx="84">
                  <c:v>556.67048999999997</c:v>
                </c:pt>
                <c:pt idx="85">
                  <c:v>561.44817999999987</c:v>
                </c:pt>
                <c:pt idx="86">
                  <c:v>562.93250999999998</c:v>
                </c:pt>
                <c:pt idx="87">
                  <c:v>568.17405999999994</c:v>
                </c:pt>
                <c:pt idx="88">
                  <c:v>570.12225000000001</c:v>
                </c:pt>
                <c:pt idx="89">
                  <c:v>573.60114999999996</c:v>
                </c:pt>
                <c:pt idx="90">
                  <c:v>579.26016000000004</c:v>
                </c:pt>
                <c:pt idx="91">
                  <c:v>583.71315000000004</c:v>
                </c:pt>
                <c:pt idx="92">
                  <c:v>591.96974</c:v>
                </c:pt>
                <c:pt idx="93">
                  <c:v>594.38177000000007</c:v>
                </c:pt>
                <c:pt idx="94">
                  <c:v>602.59197000000006</c:v>
                </c:pt>
                <c:pt idx="95">
                  <c:v>607.87990000000013</c:v>
                </c:pt>
                <c:pt idx="96">
                  <c:v>611.82266000000004</c:v>
                </c:pt>
                <c:pt idx="97">
                  <c:v>616.83227999999997</c:v>
                </c:pt>
                <c:pt idx="98">
                  <c:v>620.03287</c:v>
                </c:pt>
                <c:pt idx="99">
                  <c:v>625.55271999999991</c:v>
                </c:pt>
                <c:pt idx="100">
                  <c:v>632.88159999999993</c:v>
                </c:pt>
                <c:pt idx="101">
                  <c:v>637.19542999999987</c:v>
                </c:pt>
                <c:pt idx="102">
                  <c:v>640.30324999999982</c:v>
                </c:pt>
                <c:pt idx="103">
                  <c:v>648.04959999999994</c:v>
                </c:pt>
                <c:pt idx="104">
                  <c:v>651.25018999999998</c:v>
                </c:pt>
                <c:pt idx="105">
                  <c:v>660.10978999999998</c:v>
                </c:pt>
                <c:pt idx="106">
                  <c:v>666.13989000000004</c:v>
                </c:pt>
                <c:pt idx="107">
                  <c:v>674.25731999999994</c:v>
                </c:pt>
                <c:pt idx="108">
                  <c:v>683.02414999999996</c:v>
                </c:pt>
                <c:pt idx="109">
                  <c:v>691.4199000000001</c:v>
                </c:pt>
                <c:pt idx="110">
                  <c:v>699.67648999999994</c:v>
                </c:pt>
                <c:pt idx="111">
                  <c:v>700.46503999999993</c:v>
                </c:pt>
                <c:pt idx="112">
                  <c:v>705.33549999999991</c:v>
                </c:pt>
                <c:pt idx="113">
                  <c:v>711.41197999999997</c:v>
                </c:pt>
                <c:pt idx="114">
                  <c:v>710.62342999999998</c:v>
                </c:pt>
                <c:pt idx="115">
                  <c:v>711.41198999999995</c:v>
                </c:pt>
                <c:pt idx="116">
                  <c:v>711.69030999999995</c:v>
                </c:pt>
                <c:pt idx="117">
                  <c:v>715.16921000000002</c:v>
                </c:pt>
                <c:pt idx="118">
                  <c:v>716.83907999999997</c:v>
                </c:pt>
                <c:pt idx="119">
                  <c:v>718.50894999999991</c:v>
                </c:pt>
                <c:pt idx="120">
                  <c:v>719.15833999999995</c:v>
                </c:pt>
                <c:pt idx="121">
                  <c:v>717.21015000000011</c:v>
                </c:pt>
                <c:pt idx="122">
                  <c:v>712.98909000000003</c:v>
                </c:pt>
                <c:pt idx="123">
                  <c:v>715.26198000000011</c:v>
                </c:pt>
                <c:pt idx="124">
                  <c:v>712.24693000000002</c:v>
                </c:pt>
                <c:pt idx="125">
                  <c:v>708.07224999999994</c:v>
                </c:pt>
                <c:pt idx="126">
                  <c:v>708.62887000000012</c:v>
                </c:pt>
                <c:pt idx="127">
                  <c:v>706.1240600000001</c:v>
                </c:pt>
                <c:pt idx="128">
                  <c:v>702.45961</c:v>
                </c:pt>
                <c:pt idx="129">
                  <c:v>696.19758999999988</c:v>
                </c:pt>
                <c:pt idx="130">
                  <c:v>690.63134999999988</c:v>
                </c:pt>
                <c:pt idx="131">
                  <c:v>682.93138999999985</c:v>
                </c:pt>
                <c:pt idx="132">
                  <c:v>676.25189999999998</c:v>
                </c:pt>
                <c:pt idx="133">
                  <c:v>672.21638000000007</c:v>
                </c:pt>
                <c:pt idx="134">
                  <c:v>673.93263999999999</c:v>
                </c:pt>
                <c:pt idx="135">
                  <c:v>672.68022999999994</c:v>
                </c:pt>
                <c:pt idx="136">
                  <c:v>670.96397999999999</c:v>
                </c:pt>
                <c:pt idx="137">
                  <c:v>669.98989000000006</c:v>
                </c:pt>
                <c:pt idx="138">
                  <c:v>671.14953000000003</c:v>
                </c:pt>
                <c:pt idx="139">
                  <c:v>670.5001299999999</c:v>
                </c:pt>
                <c:pt idx="140">
                  <c:v>671.19590999999991</c:v>
                </c:pt>
                <c:pt idx="141">
                  <c:v>670.59289999999999</c:v>
                </c:pt>
                <c:pt idx="142">
                  <c:v>669.43326000000002</c:v>
                </c:pt>
                <c:pt idx="143">
                  <c:v>669.98988000000008</c:v>
                </c:pt>
                <c:pt idx="144">
                  <c:v>668.64471000000015</c:v>
                </c:pt>
                <c:pt idx="145">
                  <c:v>675.30882000000008</c:v>
                </c:pt>
                <c:pt idx="146">
                  <c:v>677.55444999999997</c:v>
                </c:pt>
                <c:pt idx="147">
                  <c:v>683.72682000000009</c:v>
                </c:pt>
                <c:pt idx="148">
                  <c:v>689.18341000000009</c:v>
                </c:pt>
                <c:pt idx="149">
                  <c:v>696.2671600000001</c:v>
                </c:pt>
                <c:pt idx="150">
                  <c:v>702.77087000000006</c:v>
                </c:pt>
                <c:pt idx="151">
                  <c:v>709.01574000000005</c:v>
                </c:pt>
                <c:pt idx="152">
                  <c:v>718.17432999999994</c:v>
                </c:pt>
                <c:pt idx="153">
                  <c:v>727.94220000000007</c:v>
                </c:pt>
                <c:pt idx="154">
                  <c:v>737.28402000000006</c:v>
                </c:pt>
                <c:pt idx="155">
                  <c:v>749.12152000000003</c:v>
                </c:pt>
                <c:pt idx="156">
                  <c:v>762.48865000000001</c:v>
                </c:pt>
                <c:pt idx="157">
                  <c:v>768.04017999999996</c:v>
                </c:pt>
                <c:pt idx="158">
                  <c:v>773.71920999999998</c:v>
                </c:pt>
                <c:pt idx="159">
                  <c:v>781.01174000000015</c:v>
                </c:pt>
                <c:pt idx="160">
                  <c:v>786.6614800000001</c:v>
                </c:pt>
                <c:pt idx="161">
                  <c:v>790.28670000000022</c:v>
                </c:pt>
                <c:pt idx="162">
                  <c:v>796.5856</c:v>
                </c:pt>
                <c:pt idx="163">
                  <c:v>801.53561999999988</c:v>
                </c:pt>
                <c:pt idx="164">
                  <c:v>809.73568000000012</c:v>
                </c:pt>
                <c:pt idx="165">
                  <c:v>815.40120000000002</c:v>
                </c:pt>
                <c:pt idx="166">
                  <c:v>824.32457999999997</c:v>
                </c:pt>
                <c:pt idx="167">
                  <c:v>832.41595999999993</c:v>
                </c:pt>
                <c:pt idx="168">
                  <c:v>839.03460000000007</c:v>
                </c:pt>
                <c:pt idx="169">
                  <c:v>844.01344999999992</c:v>
                </c:pt>
                <c:pt idx="170">
                  <c:v>851.24369000000002</c:v>
                </c:pt>
                <c:pt idx="171">
                  <c:v>852.66555999999991</c:v>
                </c:pt>
                <c:pt idx="172">
                  <c:v>859.76423999999997</c:v>
                </c:pt>
                <c:pt idx="173">
                  <c:v>866.90325999999993</c:v>
                </c:pt>
                <c:pt idx="174">
                  <c:v>868.79451999999992</c:v>
                </c:pt>
                <c:pt idx="175">
                  <c:v>875.52876999999989</c:v>
                </c:pt>
                <c:pt idx="176">
                  <c:v>874.25503000000003</c:v>
                </c:pt>
                <c:pt idx="177">
                  <c:v>873.50666000000001</c:v>
                </c:pt>
                <c:pt idx="178">
                  <c:v>872.95044999999993</c:v>
                </c:pt>
                <c:pt idx="179">
                  <c:v>874.45036000000005</c:v>
                </c:pt>
                <c:pt idx="180">
                  <c:v>879.37894000000006</c:v>
                </c:pt>
                <c:pt idx="181">
                  <c:v>882.96042999999997</c:v>
                </c:pt>
                <c:pt idx="182">
                  <c:v>885.69628</c:v>
                </c:pt>
                <c:pt idx="183">
                  <c:v>878.93209000000002</c:v>
                </c:pt>
                <c:pt idx="184">
                  <c:v>861.52980000000002</c:v>
                </c:pt>
                <c:pt idx="185">
                  <c:v>855.97444999999993</c:v>
                </c:pt>
                <c:pt idx="186">
                  <c:v>854.88410999999996</c:v>
                </c:pt>
                <c:pt idx="187">
                  <c:v>853.35457000000008</c:v>
                </c:pt>
                <c:pt idx="188">
                  <c:v>854.77525000000003</c:v>
                </c:pt>
                <c:pt idx="189">
                  <c:v>861.08411999999998</c:v>
                </c:pt>
                <c:pt idx="190">
                  <c:v>867.98806000000002</c:v>
                </c:pt>
                <c:pt idx="191">
                  <c:v>870.93792999999994</c:v>
                </c:pt>
                <c:pt idx="192">
                  <c:v>872.91777999999999</c:v>
                </c:pt>
                <c:pt idx="193">
                  <c:v>872.17612999999994</c:v>
                </c:pt>
                <c:pt idx="194">
                  <c:v>872.22655999999995</c:v>
                </c:pt>
                <c:pt idx="195">
                  <c:v>885.50379999999996</c:v>
                </c:pt>
                <c:pt idx="196">
                  <c:v>914.90785000000005</c:v>
                </c:pt>
                <c:pt idx="197">
                  <c:v>937.79281000000003</c:v>
                </c:pt>
                <c:pt idx="198">
                  <c:v>955.47885000000019</c:v>
                </c:pt>
                <c:pt idx="199">
                  <c:v>975.39298000000008</c:v>
                </c:pt>
                <c:pt idx="200">
                  <c:v>986.43253000000004</c:v>
                </c:pt>
                <c:pt idx="201">
                  <c:v>995.43604000000005</c:v>
                </c:pt>
                <c:pt idx="202">
                  <c:v>1005.9429699999999</c:v>
                </c:pt>
                <c:pt idx="203">
                  <c:v>1018.80527</c:v>
                </c:pt>
                <c:pt idx="204">
                  <c:v>1032.7670000000001</c:v>
                </c:pt>
                <c:pt idx="205">
                  <c:v>1042.1987200000001</c:v>
                </c:pt>
                <c:pt idx="206">
                  <c:v>1053.3551199999999</c:v>
                </c:pt>
                <c:pt idx="207">
                  <c:v>1074.0771200000001</c:v>
                </c:pt>
                <c:pt idx="208">
                  <c:v>1091.0370399999999</c:v>
                </c:pt>
                <c:pt idx="209">
                  <c:v>1106.5777600000001</c:v>
                </c:pt>
                <c:pt idx="210">
                  <c:v>1122.1214699999998</c:v>
                </c:pt>
                <c:pt idx="211">
                  <c:v>1133.1429799999999</c:v>
                </c:pt>
                <c:pt idx="212">
                  <c:v>1150.4469199999999</c:v>
                </c:pt>
                <c:pt idx="213">
                  <c:v>1165.6737699999999</c:v>
                </c:pt>
                <c:pt idx="214">
                  <c:v>1177.14717</c:v>
                </c:pt>
                <c:pt idx="215">
                  <c:v>1187.89175</c:v>
                </c:pt>
                <c:pt idx="216">
                  <c:v>1200.0000099999997</c:v>
                </c:pt>
                <c:pt idx="217">
                  <c:v>1213.9295</c:v>
                </c:pt>
                <c:pt idx="218">
                  <c:v>1223.6429600000001</c:v>
                </c:pt>
                <c:pt idx="219">
                  <c:v>1229.19642</c:v>
                </c:pt>
                <c:pt idx="220">
                  <c:v>1224.84142</c:v>
                </c:pt>
                <c:pt idx="221">
                  <c:v>1220.3714200000002</c:v>
                </c:pt>
                <c:pt idx="222">
                  <c:v>1218.6374500000002</c:v>
                </c:pt>
                <c:pt idx="223">
                  <c:v>1219.4863000000003</c:v>
                </c:pt>
                <c:pt idx="224">
                  <c:v>1227.4150300000001</c:v>
                </c:pt>
                <c:pt idx="225">
                  <c:v>1230.2023099999999</c:v>
                </c:pt>
                <c:pt idx="226">
                  <c:v>1235.58718</c:v>
                </c:pt>
                <c:pt idx="227">
                  <c:v>1241.4895800000002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5-42BC-AB95-99E177D94D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'PMC-Potencial'!$A$13:$A$240</c:f>
              <c:numCache>
                <c:formatCode>mmm\-yy</c:formatCode>
                <c:ptCount val="228"/>
                <c:pt idx="0">
                  <c:v>38322</c:v>
                </c:pt>
                <c:pt idx="1">
                  <c:v>38353</c:v>
                </c:pt>
                <c:pt idx="2">
                  <c:v>38384</c:v>
                </c:pt>
                <c:pt idx="3">
                  <c:v>38412</c:v>
                </c:pt>
                <c:pt idx="4">
                  <c:v>38443</c:v>
                </c:pt>
                <c:pt idx="5">
                  <c:v>38473</c:v>
                </c:pt>
                <c:pt idx="6">
                  <c:v>38504</c:v>
                </c:pt>
                <c:pt idx="7">
                  <c:v>38534</c:v>
                </c:pt>
                <c:pt idx="8">
                  <c:v>38565</c:v>
                </c:pt>
                <c:pt idx="9">
                  <c:v>38596</c:v>
                </c:pt>
                <c:pt idx="10">
                  <c:v>38626</c:v>
                </c:pt>
                <c:pt idx="11">
                  <c:v>38657</c:v>
                </c:pt>
                <c:pt idx="12">
                  <c:v>38687</c:v>
                </c:pt>
                <c:pt idx="13">
                  <c:v>38718</c:v>
                </c:pt>
                <c:pt idx="14">
                  <c:v>38749</c:v>
                </c:pt>
                <c:pt idx="15">
                  <c:v>38777</c:v>
                </c:pt>
                <c:pt idx="16">
                  <c:v>38808</c:v>
                </c:pt>
                <c:pt idx="17">
                  <c:v>38838</c:v>
                </c:pt>
                <c:pt idx="18">
                  <c:v>38869</c:v>
                </c:pt>
                <c:pt idx="19">
                  <c:v>38899</c:v>
                </c:pt>
                <c:pt idx="20">
                  <c:v>38930</c:v>
                </c:pt>
                <c:pt idx="21">
                  <c:v>38961</c:v>
                </c:pt>
                <c:pt idx="22">
                  <c:v>38991</c:v>
                </c:pt>
                <c:pt idx="23">
                  <c:v>39022</c:v>
                </c:pt>
                <c:pt idx="24">
                  <c:v>39052</c:v>
                </c:pt>
                <c:pt idx="25">
                  <c:v>39083</c:v>
                </c:pt>
                <c:pt idx="26">
                  <c:v>39114</c:v>
                </c:pt>
                <c:pt idx="27">
                  <c:v>39142</c:v>
                </c:pt>
                <c:pt idx="28">
                  <c:v>39173</c:v>
                </c:pt>
                <c:pt idx="29">
                  <c:v>39203</c:v>
                </c:pt>
                <c:pt idx="30">
                  <c:v>39234</c:v>
                </c:pt>
                <c:pt idx="31">
                  <c:v>39264</c:v>
                </c:pt>
                <c:pt idx="32">
                  <c:v>39295</c:v>
                </c:pt>
                <c:pt idx="33">
                  <c:v>39326</c:v>
                </c:pt>
                <c:pt idx="34">
                  <c:v>39356</c:v>
                </c:pt>
                <c:pt idx="35">
                  <c:v>39387</c:v>
                </c:pt>
                <c:pt idx="36">
                  <c:v>39417</c:v>
                </c:pt>
                <c:pt idx="37">
                  <c:v>39448</c:v>
                </c:pt>
                <c:pt idx="38">
                  <c:v>39479</c:v>
                </c:pt>
                <c:pt idx="39">
                  <c:v>39508</c:v>
                </c:pt>
                <c:pt idx="40">
                  <c:v>39539</c:v>
                </c:pt>
                <c:pt idx="41">
                  <c:v>39569</c:v>
                </c:pt>
                <c:pt idx="42">
                  <c:v>39600</c:v>
                </c:pt>
                <c:pt idx="43">
                  <c:v>39630</c:v>
                </c:pt>
                <c:pt idx="44">
                  <c:v>39661</c:v>
                </c:pt>
                <c:pt idx="45">
                  <c:v>39692</c:v>
                </c:pt>
                <c:pt idx="46">
                  <c:v>39722</c:v>
                </c:pt>
                <c:pt idx="47">
                  <c:v>39753</c:v>
                </c:pt>
                <c:pt idx="48">
                  <c:v>39783</c:v>
                </c:pt>
                <c:pt idx="49">
                  <c:v>39814</c:v>
                </c:pt>
                <c:pt idx="50">
                  <c:v>39845</c:v>
                </c:pt>
                <c:pt idx="51">
                  <c:v>39873</c:v>
                </c:pt>
                <c:pt idx="52">
                  <c:v>39904</c:v>
                </c:pt>
                <c:pt idx="53">
                  <c:v>39934</c:v>
                </c:pt>
                <c:pt idx="54">
                  <c:v>39965</c:v>
                </c:pt>
                <c:pt idx="55">
                  <c:v>39995</c:v>
                </c:pt>
                <c:pt idx="56">
                  <c:v>40026</c:v>
                </c:pt>
                <c:pt idx="57">
                  <c:v>40057</c:v>
                </c:pt>
                <c:pt idx="58">
                  <c:v>40087</c:v>
                </c:pt>
                <c:pt idx="59">
                  <c:v>40118</c:v>
                </c:pt>
                <c:pt idx="60">
                  <c:v>40148</c:v>
                </c:pt>
                <c:pt idx="61">
                  <c:v>40179</c:v>
                </c:pt>
                <c:pt idx="62">
                  <c:v>40210</c:v>
                </c:pt>
                <c:pt idx="63">
                  <c:v>40238</c:v>
                </c:pt>
                <c:pt idx="64">
                  <c:v>40269</c:v>
                </c:pt>
                <c:pt idx="65">
                  <c:v>40299</c:v>
                </c:pt>
                <c:pt idx="66">
                  <c:v>40330</c:v>
                </c:pt>
                <c:pt idx="67">
                  <c:v>40360</c:v>
                </c:pt>
                <c:pt idx="68">
                  <c:v>40391</c:v>
                </c:pt>
                <c:pt idx="69">
                  <c:v>40422</c:v>
                </c:pt>
                <c:pt idx="70">
                  <c:v>40452</c:v>
                </c:pt>
                <c:pt idx="71">
                  <c:v>40483</c:v>
                </c:pt>
                <c:pt idx="72">
                  <c:v>40513</c:v>
                </c:pt>
                <c:pt idx="73">
                  <c:v>40544</c:v>
                </c:pt>
                <c:pt idx="74">
                  <c:v>40575</c:v>
                </c:pt>
                <c:pt idx="75">
                  <c:v>40603</c:v>
                </c:pt>
                <c:pt idx="76">
                  <c:v>40634</c:v>
                </c:pt>
                <c:pt idx="77">
                  <c:v>40664</c:v>
                </c:pt>
                <c:pt idx="78">
                  <c:v>40695</c:v>
                </c:pt>
                <c:pt idx="79">
                  <c:v>40725</c:v>
                </c:pt>
                <c:pt idx="80">
                  <c:v>40756</c:v>
                </c:pt>
                <c:pt idx="81">
                  <c:v>40787</c:v>
                </c:pt>
                <c:pt idx="82">
                  <c:v>40817</c:v>
                </c:pt>
                <c:pt idx="83">
                  <c:v>40848</c:v>
                </c:pt>
                <c:pt idx="84">
                  <c:v>40878</c:v>
                </c:pt>
                <c:pt idx="85">
                  <c:v>40909</c:v>
                </c:pt>
                <c:pt idx="86">
                  <c:v>40940</c:v>
                </c:pt>
                <c:pt idx="87">
                  <c:v>40969</c:v>
                </c:pt>
                <c:pt idx="88">
                  <c:v>41000</c:v>
                </c:pt>
                <c:pt idx="89">
                  <c:v>41030</c:v>
                </c:pt>
                <c:pt idx="90">
                  <c:v>41061</c:v>
                </c:pt>
                <c:pt idx="91">
                  <c:v>41091</c:v>
                </c:pt>
                <c:pt idx="92">
                  <c:v>41122</c:v>
                </c:pt>
                <c:pt idx="93">
                  <c:v>41153</c:v>
                </c:pt>
                <c:pt idx="94">
                  <c:v>41183</c:v>
                </c:pt>
                <c:pt idx="95">
                  <c:v>41214</c:v>
                </c:pt>
                <c:pt idx="96">
                  <c:v>41244</c:v>
                </c:pt>
                <c:pt idx="97">
                  <c:v>41275</c:v>
                </c:pt>
                <c:pt idx="98">
                  <c:v>41306</c:v>
                </c:pt>
                <c:pt idx="99">
                  <c:v>41334</c:v>
                </c:pt>
                <c:pt idx="100">
                  <c:v>41365</c:v>
                </c:pt>
                <c:pt idx="101">
                  <c:v>41395</c:v>
                </c:pt>
                <c:pt idx="102">
                  <c:v>41426</c:v>
                </c:pt>
                <c:pt idx="103">
                  <c:v>41456</c:v>
                </c:pt>
                <c:pt idx="104">
                  <c:v>41487</c:v>
                </c:pt>
                <c:pt idx="105">
                  <c:v>41518</c:v>
                </c:pt>
                <c:pt idx="106">
                  <c:v>41548</c:v>
                </c:pt>
                <c:pt idx="107">
                  <c:v>41579</c:v>
                </c:pt>
                <c:pt idx="108">
                  <c:v>41609</c:v>
                </c:pt>
                <c:pt idx="109">
                  <c:v>41640</c:v>
                </c:pt>
                <c:pt idx="110">
                  <c:v>41671</c:v>
                </c:pt>
                <c:pt idx="111">
                  <c:v>41699</c:v>
                </c:pt>
                <c:pt idx="112">
                  <c:v>41730</c:v>
                </c:pt>
                <c:pt idx="113">
                  <c:v>41760</c:v>
                </c:pt>
                <c:pt idx="114">
                  <c:v>41791</c:v>
                </c:pt>
                <c:pt idx="115">
                  <c:v>41821</c:v>
                </c:pt>
                <c:pt idx="116">
                  <c:v>41852</c:v>
                </c:pt>
                <c:pt idx="117">
                  <c:v>41883</c:v>
                </c:pt>
                <c:pt idx="118">
                  <c:v>41913</c:v>
                </c:pt>
                <c:pt idx="119">
                  <c:v>41944</c:v>
                </c:pt>
                <c:pt idx="120">
                  <c:v>41974</c:v>
                </c:pt>
                <c:pt idx="121">
                  <c:v>42005</c:v>
                </c:pt>
                <c:pt idx="122">
                  <c:v>42036</c:v>
                </c:pt>
                <c:pt idx="123">
                  <c:v>42064</c:v>
                </c:pt>
                <c:pt idx="124">
                  <c:v>42095</c:v>
                </c:pt>
                <c:pt idx="125">
                  <c:v>42125</c:v>
                </c:pt>
                <c:pt idx="126">
                  <c:v>42156</c:v>
                </c:pt>
                <c:pt idx="127">
                  <c:v>42186</c:v>
                </c:pt>
                <c:pt idx="128">
                  <c:v>42217</c:v>
                </c:pt>
                <c:pt idx="129">
                  <c:v>42248</c:v>
                </c:pt>
                <c:pt idx="130">
                  <c:v>42278</c:v>
                </c:pt>
                <c:pt idx="131">
                  <c:v>42309</c:v>
                </c:pt>
                <c:pt idx="132">
                  <c:v>42339</c:v>
                </c:pt>
                <c:pt idx="133">
                  <c:v>42370</c:v>
                </c:pt>
                <c:pt idx="134">
                  <c:v>42401</c:v>
                </c:pt>
                <c:pt idx="135">
                  <c:v>42430</c:v>
                </c:pt>
                <c:pt idx="136">
                  <c:v>42461</c:v>
                </c:pt>
                <c:pt idx="137">
                  <c:v>42491</c:v>
                </c:pt>
                <c:pt idx="138">
                  <c:v>42522</c:v>
                </c:pt>
                <c:pt idx="139">
                  <c:v>42552</c:v>
                </c:pt>
                <c:pt idx="140">
                  <c:v>42583</c:v>
                </c:pt>
                <c:pt idx="141">
                  <c:v>42614</c:v>
                </c:pt>
                <c:pt idx="142">
                  <c:v>42644</c:v>
                </c:pt>
                <c:pt idx="143">
                  <c:v>42675</c:v>
                </c:pt>
                <c:pt idx="144">
                  <c:v>42705</c:v>
                </c:pt>
                <c:pt idx="145">
                  <c:v>42736</c:v>
                </c:pt>
                <c:pt idx="146">
                  <c:v>42767</c:v>
                </c:pt>
                <c:pt idx="147">
                  <c:v>42795</c:v>
                </c:pt>
                <c:pt idx="148">
                  <c:v>42826</c:v>
                </c:pt>
                <c:pt idx="149">
                  <c:v>42856</c:v>
                </c:pt>
                <c:pt idx="150">
                  <c:v>42887</c:v>
                </c:pt>
                <c:pt idx="151">
                  <c:v>42917</c:v>
                </c:pt>
                <c:pt idx="152">
                  <c:v>42948</c:v>
                </c:pt>
                <c:pt idx="153">
                  <c:v>42979</c:v>
                </c:pt>
                <c:pt idx="154">
                  <c:v>43009</c:v>
                </c:pt>
                <c:pt idx="155">
                  <c:v>43040</c:v>
                </c:pt>
                <c:pt idx="156">
                  <c:v>43070</c:v>
                </c:pt>
                <c:pt idx="157">
                  <c:v>43101</c:v>
                </c:pt>
                <c:pt idx="158">
                  <c:v>43132</c:v>
                </c:pt>
                <c:pt idx="159">
                  <c:v>43160</c:v>
                </c:pt>
                <c:pt idx="160">
                  <c:v>43191</c:v>
                </c:pt>
                <c:pt idx="161">
                  <c:v>43221</c:v>
                </c:pt>
                <c:pt idx="162">
                  <c:v>43252</c:v>
                </c:pt>
                <c:pt idx="163">
                  <c:v>43282</c:v>
                </c:pt>
                <c:pt idx="164">
                  <c:v>43313</c:v>
                </c:pt>
                <c:pt idx="165">
                  <c:v>43344</c:v>
                </c:pt>
                <c:pt idx="166">
                  <c:v>43374</c:v>
                </c:pt>
                <c:pt idx="167">
                  <c:v>43405</c:v>
                </c:pt>
                <c:pt idx="168">
                  <c:v>43435</c:v>
                </c:pt>
                <c:pt idx="169">
                  <c:v>43466</c:v>
                </c:pt>
                <c:pt idx="170">
                  <c:v>43497</c:v>
                </c:pt>
                <c:pt idx="171">
                  <c:v>43525</c:v>
                </c:pt>
                <c:pt idx="172">
                  <c:v>43556</c:v>
                </c:pt>
                <c:pt idx="173">
                  <c:v>43586</c:v>
                </c:pt>
                <c:pt idx="174">
                  <c:v>43617</c:v>
                </c:pt>
                <c:pt idx="175">
                  <c:v>43647</c:v>
                </c:pt>
                <c:pt idx="176">
                  <c:v>43678</c:v>
                </c:pt>
                <c:pt idx="177">
                  <c:v>43709</c:v>
                </c:pt>
                <c:pt idx="178">
                  <c:v>43739</c:v>
                </c:pt>
                <c:pt idx="179">
                  <c:v>43770</c:v>
                </c:pt>
                <c:pt idx="180">
                  <c:v>43800</c:v>
                </c:pt>
                <c:pt idx="181">
                  <c:v>43831</c:v>
                </c:pt>
                <c:pt idx="182">
                  <c:v>43862</c:v>
                </c:pt>
                <c:pt idx="183">
                  <c:v>43891</c:v>
                </c:pt>
                <c:pt idx="184">
                  <c:v>43922</c:v>
                </c:pt>
                <c:pt idx="185">
                  <c:v>43952</c:v>
                </c:pt>
                <c:pt idx="186">
                  <c:v>43983</c:v>
                </c:pt>
                <c:pt idx="187">
                  <c:v>44013</c:v>
                </c:pt>
                <c:pt idx="188">
                  <c:v>44044</c:v>
                </c:pt>
                <c:pt idx="189">
                  <c:v>44075</c:v>
                </c:pt>
                <c:pt idx="190">
                  <c:v>44105</c:v>
                </c:pt>
                <c:pt idx="191">
                  <c:v>44136</c:v>
                </c:pt>
                <c:pt idx="192">
                  <c:v>44166</c:v>
                </c:pt>
                <c:pt idx="193">
                  <c:v>44197</c:v>
                </c:pt>
                <c:pt idx="194">
                  <c:v>44228</c:v>
                </c:pt>
                <c:pt idx="195">
                  <c:v>44256</c:v>
                </c:pt>
                <c:pt idx="196">
                  <c:v>44287</c:v>
                </c:pt>
                <c:pt idx="197">
                  <c:v>44317</c:v>
                </c:pt>
                <c:pt idx="198">
                  <c:v>44348</c:v>
                </c:pt>
                <c:pt idx="199">
                  <c:v>44378</c:v>
                </c:pt>
                <c:pt idx="200">
                  <c:v>44409</c:v>
                </c:pt>
                <c:pt idx="201">
                  <c:v>44440</c:v>
                </c:pt>
                <c:pt idx="202">
                  <c:v>44470</c:v>
                </c:pt>
                <c:pt idx="203">
                  <c:v>44501</c:v>
                </c:pt>
                <c:pt idx="204">
                  <c:v>44531</c:v>
                </c:pt>
                <c:pt idx="205">
                  <c:v>44562</c:v>
                </c:pt>
                <c:pt idx="206">
                  <c:v>44593</c:v>
                </c:pt>
                <c:pt idx="207">
                  <c:v>44621</c:v>
                </c:pt>
                <c:pt idx="208">
                  <c:v>44652</c:v>
                </c:pt>
                <c:pt idx="209">
                  <c:v>44682</c:v>
                </c:pt>
                <c:pt idx="210">
                  <c:v>44713</c:v>
                </c:pt>
                <c:pt idx="211">
                  <c:v>44743</c:v>
                </c:pt>
                <c:pt idx="212">
                  <c:v>44774</c:v>
                </c:pt>
                <c:pt idx="213">
                  <c:v>44805</c:v>
                </c:pt>
                <c:pt idx="214">
                  <c:v>44835</c:v>
                </c:pt>
                <c:pt idx="215">
                  <c:v>44866</c:v>
                </c:pt>
                <c:pt idx="216">
                  <c:v>44896</c:v>
                </c:pt>
                <c:pt idx="217">
                  <c:v>44927</c:v>
                </c:pt>
                <c:pt idx="218">
                  <c:v>44958</c:v>
                </c:pt>
                <c:pt idx="219">
                  <c:v>44986</c:v>
                </c:pt>
                <c:pt idx="220">
                  <c:v>45017</c:v>
                </c:pt>
                <c:pt idx="221">
                  <c:v>45047</c:v>
                </c:pt>
                <c:pt idx="222">
                  <c:v>45078</c:v>
                </c:pt>
                <c:pt idx="223">
                  <c:v>45108</c:v>
                </c:pt>
                <c:pt idx="224">
                  <c:v>45139</c:v>
                </c:pt>
                <c:pt idx="225">
                  <c:v>45170</c:v>
                </c:pt>
                <c:pt idx="226">
                  <c:v>45200</c:v>
                </c:pt>
                <c:pt idx="227">
                  <c:v>45231</c:v>
                </c:pt>
              </c:numCache>
            </c:numRef>
          </c:cat>
          <c:val>
            <c:numRef>
              <c:f>'PMC-Potencial'!$F$13:$F$240</c:f>
              <c:numCache>
                <c:formatCode>General</c:formatCode>
                <c:ptCount val="228"/>
                <c:pt idx="0">
                  <c:v>232.32857992760279</c:v>
                </c:pt>
                <c:pt idx="1">
                  <c:v>236.11679621968511</c:v>
                </c:pt>
                <c:pt idx="2">
                  <c:v>239.90501251176747</c:v>
                </c:pt>
                <c:pt idx="3">
                  <c:v>243.69322880384979</c:v>
                </c:pt>
                <c:pt idx="4">
                  <c:v>247.48144509593212</c:v>
                </c:pt>
                <c:pt idx="5">
                  <c:v>251.26966138801444</c:v>
                </c:pt>
                <c:pt idx="6">
                  <c:v>255.05787768009679</c:v>
                </c:pt>
                <c:pt idx="7">
                  <c:v>258.84609397217912</c:v>
                </c:pt>
                <c:pt idx="8">
                  <c:v>262.63431026426144</c:v>
                </c:pt>
                <c:pt idx="9">
                  <c:v>266.42252655634377</c:v>
                </c:pt>
                <c:pt idx="10">
                  <c:v>270.21074284842609</c:v>
                </c:pt>
                <c:pt idx="11">
                  <c:v>273.99895914050842</c:v>
                </c:pt>
                <c:pt idx="12">
                  <c:v>277.78717543259074</c:v>
                </c:pt>
                <c:pt idx="13">
                  <c:v>281.57539172467312</c:v>
                </c:pt>
                <c:pt idx="14">
                  <c:v>285.36360801675545</c:v>
                </c:pt>
                <c:pt idx="15">
                  <c:v>289.15182430883777</c:v>
                </c:pt>
                <c:pt idx="16">
                  <c:v>292.9400406009201</c:v>
                </c:pt>
                <c:pt idx="17">
                  <c:v>296.72825689300242</c:v>
                </c:pt>
                <c:pt idx="18">
                  <c:v>300.51647318508475</c:v>
                </c:pt>
                <c:pt idx="19">
                  <c:v>304.30468947716707</c:v>
                </c:pt>
                <c:pt idx="20">
                  <c:v>308.09290576924946</c:v>
                </c:pt>
                <c:pt idx="21">
                  <c:v>311.88112206133178</c:v>
                </c:pt>
                <c:pt idx="22">
                  <c:v>315.6693383534141</c:v>
                </c:pt>
                <c:pt idx="23">
                  <c:v>319.45755464549643</c:v>
                </c:pt>
                <c:pt idx="24">
                  <c:v>323.24577093757875</c:v>
                </c:pt>
                <c:pt idx="25">
                  <c:v>327.03398722966108</c:v>
                </c:pt>
                <c:pt idx="26">
                  <c:v>330.8222035217434</c:v>
                </c:pt>
                <c:pt idx="27">
                  <c:v>334.61041981382573</c:v>
                </c:pt>
                <c:pt idx="28">
                  <c:v>338.39863610590805</c:v>
                </c:pt>
                <c:pt idx="29">
                  <c:v>342.18685239799038</c:v>
                </c:pt>
                <c:pt idx="30">
                  <c:v>345.97506869007276</c:v>
                </c:pt>
                <c:pt idx="31">
                  <c:v>349.76328498215508</c:v>
                </c:pt>
                <c:pt idx="32">
                  <c:v>353.55150127423741</c:v>
                </c:pt>
                <c:pt idx="33">
                  <c:v>357.33971756631973</c:v>
                </c:pt>
                <c:pt idx="34">
                  <c:v>361.12793385840206</c:v>
                </c:pt>
                <c:pt idx="35">
                  <c:v>364.91615015048438</c:v>
                </c:pt>
                <c:pt idx="36">
                  <c:v>368.70436644256677</c:v>
                </c:pt>
                <c:pt idx="37">
                  <c:v>372.49258273464909</c:v>
                </c:pt>
                <c:pt idx="38">
                  <c:v>376.28079902673142</c:v>
                </c:pt>
                <c:pt idx="39">
                  <c:v>380.06901531881374</c:v>
                </c:pt>
                <c:pt idx="40">
                  <c:v>383.85723161089606</c:v>
                </c:pt>
                <c:pt idx="41">
                  <c:v>387.64544790297839</c:v>
                </c:pt>
                <c:pt idx="42">
                  <c:v>391.43366419506071</c:v>
                </c:pt>
                <c:pt idx="43">
                  <c:v>395.22188048714304</c:v>
                </c:pt>
                <c:pt idx="44">
                  <c:v>399.01009677922536</c:v>
                </c:pt>
                <c:pt idx="45">
                  <c:v>402.79831307130769</c:v>
                </c:pt>
                <c:pt idx="46">
                  <c:v>406.58652936339001</c:v>
                </c:pt>
                <c:pt idx="47">
                  <c:v>410.37474565547234</c:v>
                </c:pt>
                <c:pt idx="48">
                  <c:v>414.16296194755466</c:v>
                </c:pt>
                <c:pt idx="49">
                  <c:v>417.95117823963704</c:v>
                </c:pt>
                <c:pt idx="50">
                  <c:v>421.73939453171937</c:v>
                </c:pt>
                <c:pt idx="51">
                  <c:v>425.52761082380169</c:v>
                </c:pt>
                <c:pt idx="52">
                  <c:v>429.31582711588402</c:v>
                </c:pt>
                <c:pt idx="53">
                  <c:v>433.1040434079664</c:v>
                </c:pt>
                <c:pt idx="54">
                  <c:v>436.89225970004873</c:v>
                </c:pt>
                <c:pt idx="55">
                  <c:v>440.68047599213105</c:v>
                </c:pt>
                <c:pt idx="56">
                  <c:v>444.46869228421338</c:v>
                </c:pt>
                <c:pt idx="57">
                  <c:v>448.2569085762957</c:v>
                </c:pt>
                <c:pt idx="58">
                  <c:v>452.04512486837802</c:v>
                </c:pt>
                <c:pt idx="59">
                  <c:v>455.83334116046035</c:v>
                </c:pt>
                <c:pt idx="60">
                  <c:v>459.62155745254267</c:v>
                </c:pt>
                <c:pt idx="61">
                  <c:v>463.409773744625</c:v>
                </c:pt>
                <c:pt idx="62">
                  <c:v>467.19799003670732</c:v>
                </c:pt>
                <c:pt idx="63">
                  <c:v>470.98620632878965</c:v>
                </c:pt>
                <c:pt idx="64">
                  <c:v>474.77442262087197</c:v>
                </c:pt>
                <c:pt idx="65">
                  <c:v>478.5626389129543</c:v>
                </c:pt>
                <c:pt idx="66">
                  <c:v>482.35085520503668</c:v>
                </c:pt>
                <c:pt idx="67">
                  <c:v>486.13907149711901</c:v>
                </c:pt>
                <c:pt idx="68">
                  <c:v>489.92728778920133</c:v>
                </c:pt>
                <c:pt idx="69">
                  <c:v>493.71550408128365</c:v>
                </c:pt>
                <c:pt idx="70">
                  <c:v>497.50372037336598</c:v>
                </c:pt>
                <c:pt idx="71">
                  <c:v>501.2919366654483</c:v>
                </c:pt>
                <c:pt idx="72">
                  <c:v>505.08015295753069</c:v>
                </c:pt>
                <c:pt idx="73">
                  <c:v>508.86836924961301</c:v>
                </c:pt>
                <c:pt idx="74">
                  <c:v>512.65658554169534</c:v>
                </c:pt>
                <c:pt idx="75">
                  <c:v>516.44480183377766</c:v>
                </c:pt>
                <c:pt idx="76">
                  <c:v>520.23301812585999</c:v>
                </c:pt>
                <c:pt idx="77">
                  <c:v>524.02123441794231</c:v>
                </c:pt>
                <c:pt idx="78">
                  <c:v>527.80945071002463</c:v>
                </c:pt>
                <c:pt idx="79">
                  <c:v>531.59766700210696</c:v>
                </c:pt>
                <c:pt idx="80">
                  <c:v>535.38588329418928</c:v>
                </c:pt>
                <c:pt idx="81">
                  <c:v>539.17409958627172</c:v>
                </c:pt>
                <c:pt idx="82">
                  <c:v>542.96231587835405</c:v>
                </c:pt>
                <c:pt idx="83">
                  <c:v>546.75053217043637</c:v>
                </c:pt>
                <c:pt idx="84">
                  <c:v>550.5387484625187</c:v>
                </c:pt>
                <c:pt idx="85">
                  <c:v>554.32696475460102</c:v>
                </c:pt>
                <c:pt idx="86">
                  <c:v>558.11518104668335</c:v>
                </c:pt>
                <c:pt idx="87">
                  <c:v>561.90339733876567</c:v>
                </c:pt>
                <c:pt idx="88">
                  <c:v>565.691613630848</c:v>
                </c:pt>
                <c:pt idx="89">
                  <c:v>569.47982992293032</c:v>
                </c:pt>
                <c:pt idx="90">
                  <c:v>573.26804621501265</c:v>
                </c:pt>
                <c:pt idx="91">
                  <c:v>577.05626250709497</c:v>
                </c:pt>
                <c:pt idx="92">
                  <c:v>580.8444787991773</c:v>
                </c:pt>
                <c:pt idx="93">
                  <c:v>584.63269509125962</c:v>
                </c:pt>
                <c:pt idx="94">
                  <c:v>588.42091138334195</c:v>
                </c:pt>
                <c:pt idx="95">
                  <c:v>592.20912767542427</c:v>
                </c:pt>
                <c:pt idx="96">
                  <c:v>595.99734396750659</c:v>
                </c:pt>
                <c:pt idx="97">
                  <c:v>599.78556025958892</c:v>
                </c:pt>
                <c:pt idx="98">
                  <c:v>603.57377655167124</c:v>
                </c:pt>
                <c:pt idx="99">
                  <c:v>607.36199284375357</c:v>
                </c:pt>
                <c:pt idx="100">
                  <c:v>611.15020913583589</c:v>
                </c:pt>
                <c:pt idx="101">
                  <c:v>614.93842542791822</c:v>
                </c:pt>
                <c:pt idx="102">
                  <c:v>618.72664172000054</c:v>
                </c:pt>
                <c:pt idx="103">
                  <c:v>622.51485801208287</c:v>
                </c:pt>
                <c:pt idx="104">
                  <c:v>626.30307430416519</c:v>
                </c:pt>
                <c:pt idx="105">
                  <c:v>630.09129059624752</c:v>
                </c:pt>
                <c:pt idx="106">
                  <c:v>633.87950688832996</c:v>
                </c:pt>
                <c:pt idx="107">
                  <c:v>637.66772318041228</c:v>
                </c:pt>
                <c:pt idx="108">
                  <c:v>641.45593947249461</c:v>
                </c:pt>
                <c:pt idx="109">
                  <c:v>645.24415576457693</c:v>
                </c:pt>
                <c:pt idx="110">
                  <c:v>649.03237205665926</c:v>
                </c:pt>
                <c:pt idx="111">
                  <c:v>652.82058834874158</c:v>
                </c:pt>
                <c:pt idx="112">
                  <c:v>656.60880464082391</c:v>
                </c:pt>
                <c:pt idx="113">
                  <c:v>660.39702093290623</c:v>
                </c:pt>
                <c:pt idx="114">
                  <c:v>664.18523722498855</c:v>
                </c:pt>
                <c:pt idx="115">
                  <c:v>667.97345351707099</c:v>
                </c:pt>
                <c:pt idx="116">
                  <c:v>671.76166980915332</c:v>
                </c:pt>
                <c:pt idx="117">
                  <c:v>675.54988610123564</c:v>
                </c:pt>
                <c:pt idx="118">
                  <c:v>679.33810239331797</c:v>
                </c:pt>
                <c:pt idx="119">
                  <c:v>683.12631868540029</c:v>
                </c:pt>
                <c:pt idx="120">
                  <c:v>686.91453497748262</c:v>
                </c:pt>
                <c:pt idx="121">
                  <c:v>690.70275126956494</c:v>
                </c:pt>
                <c:pt idx="122">
                  <c:v>694.49096756164727</c:v>
                </c:pt>
                <c:pt idx="123">
                  <c:v>698.27918385372959</c:v>
                </c:pt>
                <c:pt idx="124">
                  <c:v>702.06740014581192</c:v>
                </c:pt>
                <c:pt idx="125">
                  <c:v>705.85561643789424</c:v>
                </c:pt>
                <c:pt idx="126">
                  <c:v>709.64383272997657</c:v>
                </c:pt>
                <c:pt idx="127">
                  <c:v>713.43204902205889</c:v>
                </c:pt>
                <c:pt idx="128">
                  <c:v>717.22026531414122</c:v>
                </c:pt>
                <c:pt idx="129">
                  <c:v>721.00848160622354</c:v>
                </c:pt>
                <c:pt idx="130">
                  <c:v>724.79669789830587</c:v>
                </c:pt>
                <c:pt idx="131">
                  <c:v>728.58491419038819</c:v>
                </c:pt>
                <c:pt idx="132">
                  <c:v>732.37313048247051</c:v>
                </c:pt>
                <c:pt idx="133">
                  <c:v>736.16134677455284</c:v>
                </c:pt>
                <c:pt idx="134">
                  <c:v>739.94956306663516</c:v>
                </c:pt>
                <c:pt idx="135">
                  <c:v>743.73777935871749</c:v>
                </c:pt>
                <c:pt idx="136">
                  <c:v>747.52599565079981</c:v>
                </c:pt>
                <c:pt idx="137">
                  <c:v>751.31421194288214</c:v>
                </c:pt>
                <c:pt idx="138">
                  <c:v>755.10242823496446</c:v>
                </c:pt>
                <c:pt idx="139">
                  <c:v>758.89064452704679</c:v>
                </c:pt>
                <c:pt idx="140">
                  <c:v>762.67886081912911</c:v>
                </c:pt>
                <c:pt idx="141">
                  <c:v>766.46707711121144</c:v>
                </c:pt>
                <c:pt idx="142">
                  <c:v>770.25529340329376</c:v>
                </c:pt>
                <c:pt idx="143">
                  <c:v>774.04350969537609</c:v>
                </c:pt>
                <c:pt idx="144">
                  <c:v>777.83172598745841</c:v>
                </c:pt>
                <c:pt idx="145">
                  <c:v>781.61994227954096</c:v>
                </c:pt>
                <c:pt idx="146">
                  <c:v>785.40815857162329</c:v>
                </c:pt>
                <c:pt idx="147">
                  <c:v>789.19637486370561</c:v>
                </c:pt>
                <c:pt idx="148">
                  <c:v>792.98459115578794</c:v>
                </c:pt>
                <c:pt idx="149">
                  <c:v>796.77280744787026</c:v>
                </c:pt>
                <c:pt idx="150">
                  <c:v>800.56102373995259</c:v>
                </c:pt>
                <c:pt idx="151">
                  <c:v>804.34924003203491</c:v>
                </c:pt>
                <c:pt idx="152">
                  <c:v>808.13745632411724</c:v>
                </c:pt>
                <c:pt idx="153">
                  <c:v>811.92567261619956</c:v>
                </c:pt>
                <c:pt idx="154">
                  <c:v>815.71388890828189</c:v>
                </c:pt>
                <c:pt idx="155">
                  <c:v>819.50210520036421</c:v>
                </c:pt>
                <c:pt idx="156">
                  <c:v>823.29032149244654</c:v>
                </c:pt>
                <c:pt idx="157">
                  <c:v>827.07853778452886</c:v>
                </c:pt>
                <c:pt idx="158">
                  <c:v>830.86675407661119</c:v>
                </c:pt>
                <c:pt idx="159">
                  <c:v>834.65497036869351</c:v>
                </c:pt>
                <c:pt idx="160">
                  <c:v>838.44318666077584</c:v>
                </c:pt>
                <c:pt idx="161">
                  <c:v>842.23140295285816</c:v>
                </c:pt>
                <c:pt idx="162">
                  <c:v>846.01961924494049</c:v>
                </c:pt>
                <c:pt idx="163">
                  <c:v>849.80783553702281</c:v>
                </c:pt>
                <c:pt idx="164">
                  <c:v>853.59605182910514</c:v>
                </c:pt>
                <c:pt idx="165">
                  <c:v>857.38426812118746</c:v>
                </c:pt>
                <c:pt idx="166">
                  <c:v>861.17248441326979</c:v>
                </c:pt>
                <c:pt idx="167">
                  <c:v>864.96070070535211</c:v>
                </c:pt>
                <c:pt idx="168">
                  <c:v>868.74891699743443</c:v>
                </c:pt>
                <c:pt idx="169">
                  <c:v>872.53713328951676</c:v>
                </c:pt>
                <c:pt idx="170">
                  <c:v>876.32534958159908</c:v>
                </c:pt>
                <c:pt idx="171">
                  <c:v>880.11356587368141</c:v>
                </c:pt>
                <c:pt idx="172">
                  <c:v>883.90178216576373</c:v>
                </c:pt>
                <c:pt idx="173">
                  <c:v>887.68999845784606</c:v>
                </c:pt>
                <c:pt idx="174">
                  <c:v>891.47821474992838</c:v>
                </c:pt>
                <c:pt idx="175">
                  <c:v>895.26643104201071</c:v>
                </c:pt>
                <c:pt idx="176">
                  <c:v>899.05464733409303</c:v>
                </c:pt>
                <c:pt idx="177">
                  <c:v>902.84286362617536</c:v>
                </c:pt>
                <c:pt idx="178">
                  <c:v>906.63107991825768</c:v>
                </c:pt>
                <c:pt idx="179">
                  <c:v>910.41929621034024</c:v>
                </c:pt>
                <c:pt idx="180">
                  <c:v>914.20751250242256</c:v>
                </c:pt>
                <c:pt idx="181">
                  <c:v>917.99572879450488</c:v>
                </c:pt>
                <c:pt idx="182">
                  <c:v>921.78394508658721</c:v>
                </c:pt>
                <c:pt idx="183">
                  <c:v>925.57216137866953</c:v>
                </c:pt>
                <c:pt idx="184">
                  <c:v>929.36037767075186</c:v>
                </c:pt>
                <c:pt idx="185">
                  <c:v>933.14859396283418</c:v>
                </c:pt>
                <c:pt idx="186">
                  <c:v>936.93681025491651</c:v>
                </c:pt>
                <c:pt idx="187">
                  <c:v>940.72502654699883</c:v>
                </c:pt>
                <c:pt idx="188">
                  <c:v>944.51324283908116</c:v>
                </c:pt>
                <c:pt idx="189">
                  <c:v>948.30145913116348</c:v>
                </c:pt>
                <c:pt idx="190">
                  <c:v>952.08967542324581</c:v>
                </c:pt>
                <c:pt idx="191">
                  <c:v>955.87789171532813</c:v>
                </c:pt>
                <c:pt idx="192">
                  <c:v>959.66610800741046</c:v>
                </c:pt>
                <c:pt idx="193">
                  <c:v>963.45432429949278</c:v>
                </c:pt>
                <c:pt idx="194">
                  <c:v>967.24254059157511</c:v>
                </c:pt>
                <c:pt idx="195">
                  <c:v>971.03075688365743</c:v>
                </c:pt>
                <c:pt idx="196">
                  <c:v>974.81897317573976</c:v>
                </c:pt>
                <c:pt idx="197">
                  <c:v>978.60718946782208</c:v>
                </c:pt>
                <c:pt idx="198">
                  <c:v>982.39540575990441</c:v>
                </c:pt>
                <c:pt idx="199">
                  <c:v>986.18362205198673</c:v>
                </c:pt>
                <c:pt idx="200">
                  <c:v>989.97183834406906</c:v>
                </c:pt>
                <c:pt idx="201">
                  <c:v>993.76005463615138</c:v>
                </c:pt>
                <c:pt idx="202">
                  <c:v>997.54827092823371</c:v>
                </c:pt>
                <c:pt idx="203">
                  <c:v>1001.336487220316</c:v>
                </c:pt>
                <c:pt idx="204">
                  <c:v>1005.1247035123984</c:v>
                </c:pt>
                <c:pt idx="205">
                  <c:v>1008.9129198044807</c:v>
                </c:pt>
                <c:pt idx="206">
                  <c:v>1012.701136096563</c:v>
                </c:pt>
                <c:pt idx="207">
                  <c:v>1016.4893523886453</c:v>
                </c:pt>
                <c:pt idx="208">
                  <c:v>1020.2775686807277</c:v>
                </c:pt>
                <c:pt idx="209">
                  <c:v>1024.06578497281</c:v>
                </c:pt>
                <c:pt idx="210">
                  <c:v>1027.8540012648923</c:v>
                </c:pt>
                <c:pt idx="211">
                  <c:v>1031.6422175569746</c:v>
                </c:pt>
                <c:pt idx="212">
                  <c:v>1035.430433849057</c:v>
                </c:pt>
                <c:pt idx="213">
                  <c:v>1039.2186501411395</c:v>
                </c:pt>
                <c:pt idx="214">
                  <c:v>1043.0068664332218</c:v>
                </c:pt>
                <c:pt idx="215">
                  <c:v>1046.7950827253042</c:v>
                </c:pt>
                <c:pt idx="216">
                  <c:v>1050.5832990173865</c:v>
                </c:pt>
                <c:pt idx="217">
                  <c:v>1054.3715153094688</c:v>
                </c:pt>
                <c:pt idx="218">
                  <c:v>1058.1597316015511</c:v>
                </c:pt>
                <c:pt idx="219">
                  <c:v>1061.9479478936335</c:v>
                </c:pt>
                <c:pt idx="220">
                  <c:v>1065.7361641857158</c:v>
                </c:pt>
                <c:pt idx="221">
                  <c:v>1069.5243804777981</c:v>
                </c:pt>
                <c:pt idx="222">
                  <c:v>1073.3125967698804</c:v>
                </c:pt>
                <c:pt idx="223">
                  <c:v>1077.1008130619628</c:v>
                </c:pt>
                <c:pt idx="224">
                  <c:v>1080.8890293540451</c:v>
                </c:pt>
                <c:pt idx="225">
                  <c:v>1084.6772456461274</c:v>
                </c:pt>
                <c:pt idx="226">
                  <c:v>1088.4654619382097</c:v>
                </c:pt>
                <c:pt idx="227">
                  <c:v>1092.2536782302921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15-42BC-AB95-99E177D9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509152"/>
        <c:axId val="406845952"/>
      </c:lineChart>
      <c:dateAx>
        <c:axId val="4135091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6845952"/>
        <c:crosses val="autoZero"/>
        <c:auto val="1"/>
        <c:lblOffset val="100"/>
        <c:baseTimeUnit val="months"/>
      </c:dateAx>
      <c:valAx>
        <c:axId val="4068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350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Razão investimento líquido / capital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2013 T1</c:v>
              </c:pt>
              <c:pt idx="1">
                <c:v>2013 T2</c:v>
              </c:pt>
              <c:pt idx="2">
                <c:v>2013 T3</c:v>
              </c:pt>
              <c:pt idx="3">
                <c:v>2013 T4</c:v>
              </c:pt>
              <c:pt idx="4">
                <c:v>2014 T1</c:v>
              </c:pt>
              <c:pt idx="5">
                <c:v>2014 T2</c:v>
              </c:pt>
              <c:pt idx="6">
                <c:v>2014 T3</c:v>
              </c:pt>
              <c:pt idx="7">
                <c:v>2014 T4</c:v>
              </c:pt>
              <c:pt idx="8">
                <c:v>2015 T1</c:v>
              </c:pt>
              <c:pt idx="9">
                <c:v>2015 T2</c:v>
              </c:pt>
              <c:pt idx="10">
                <c:v>2015 T3</c:v>
              </c:pt>
              <c:pt idx="11">
                <c:v>2015 T4</c:v>
              </c:pt>
              <c:pt idx="12">
                <c:v>2016 T1</c:v>
              </c:pt>
              <c:pt idx="13">
                <c:v>2016 T2</c:v>
              </c:pt>
              <c:pt idx="14">
                <c:v>2016 T3</c:v>
              </c:pt>
              <c:pt idx="15">
                <c:v>2016 T4</c:v>
              </c:pt>
              <c:pt idx="16">
                <c:v>2017 T1</c:v>
              </c:pt>
              <c:pt idx="17">
                <c:v>2017 T2</c:v>
              </c:pt>
              <c:pt idx="18">
                <c:v>2017 T3</c:v>
              </c:pt>
              <c:pt idx="19">
                <c:v>2017 T4</c:v>
              </c:pt>
              <c:pt idx="20">
                <c:v>2018 T1</c:v>
              </c:pt>
              <c:pt idx="21">
                <c:v>2018 T2</c:v>
              </c:pt>
              <c:pt idx="22">
                <c:v>2018 T3</c:v>
              </c:pt>
              <c:pt idx="23">
                <c:v>2018 T4</c:v>
              </c:pt>
            </c:strLit>
          </c:cat>
          <c:val>
            <c:numLit>
              <c:formatCode>General</c:formatCode>
              <c:ptCount val="24"/>
              <c:pt idx="0">
                <c:v>4.0086343407447801E-3</c:v>
              </c:pt>
              <c:pt idx="1">
                <c:v>5.2028577360783805E-3</c:v>
              </c:pt>
              <c:pt idx="2">
                <c:v>4.0202210820209985E-3</c:v>
              </c:pt>
              <c:pt idx="3">
                <c:v>2.7640264692550681E-3</c:v>
              </c:pt>
              <c:pt idx="4">
                <c:v>2.0109839114201417E-3</c:v>
              </c:pt>
              <c:pt idx="5">
                <c:v>8.9756620337777537E-4</c:v>
              </c:pt>
              <c:pt idx="6">
                <c:v>-1.4303434679939844E-4</c:v>
              </c:pt>
              <c:pt idx="7">
                <c:v>-8.5065449459222758E-4</c:v>
              </c:pt>
              <c:pt idx="8">
                <c:v>-1.1695774864077871E-3</c:v>
              </c:pt>
              <c:pt idx="9">
                <c:v>-2.4050665762519186E-3</c:v>
              </c:pt>
              <c:pt idx="10">
                <c:v>-3.3589946197825661E-3</c:v>
              </c:pt>
              <c:pt idx="11">
                <c:v>-4.9602718288026919E-3</c:v>
              </c:pt>
              <c:pt idx="12">
                <c:v>-5.8780299420897013E-3</c:v>
              </c:pt>
              <c:pt idx="13">
                <c:v>-4.8593102641659204E-3</c:v>
              </c:pt>
              <c:pt idx="14">
                <c:v>-6.286053989223387E-3</c:v>
              </c:pt>
              <c:pt idx="15">
                <c:v>-7.4538531868687391E-3</c:v>
              </c:pt>
              <c:pt idx="16">
                <c:v>-7.3254757991006204E-3</c:v>
              </c:pt>
              <c:pt idx="17">
                <c:v>-7.3119738904570616E-3</c:v>
              </c:pt>
              <c:pt idx="18">
                <c:v>-7.490635461785352E-3</c:v>
              </c:pt>
              <c:pt idx="19">
                <c:v>-7.6578770653183033E-3</c:v>
              </c:pt>
              <c:pt idx="20">
                <c:v>-7.9808694197649743E-3</c:v>
              </c:pt>
              <c:pt idx="21">
                <c:v>-8.1980452511027369E-3</c:v>
              </c:pt>
              <c:pt idx="22">
                <c:v>-7.5789939488579948E-3</c:v>
              </c:pt>
              <c:pt idx="23">
                <c:v>-8.515089742431068E-3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70D-4792-8B19-73C36CE04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72000"/>
        <c:axId val="1532273248"/>
      </c:lineChart>
      <c:catAx>
        <c:axId val="15322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2273248"/>
        <c:crosses val="autoZero"/>
        <c:auto val="1"/>
        <c:lblAlgn val="ctr"/>
        <c:lblOffset val="100"/>
        <c:tickLblSkip val="4"/>
        <c:noMultiLvlLbl val="0"/>
      </c:catAx>
      <c:valAx>
        <c:axId val="153227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227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8531717982016341E-4"/>
                  <c:y val="-0.22961361537124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Ac!$A$19:$A$29</c:f>
              <c:numCache>
                <c:formatCode>0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Ac!$B$19:$B$29</c:f>
              <c:numCache>
                <c:formatCode>0.000</c:formatCode>
                <c:ptCount val="11"/>
                <c:pt idx="0">
                  <c:v>100</c:v>
                </c:pt>
                <c:pt idx="1">
                  <c:v>95.858446710662548</c:v>
                </c:pt>
                <c:pt idx="2">
                  <c:v>100.39316049907531</c:v>
                </c:pt>
                <c:pt idx="3">
                  <c:v>98.673967558754597</c:v>
                </c:pt>
                <c:pt idx="4">
                  <c:v>95.438987820656024</c:v>
                </c:pt>
                <c:pt idx="5">
                  <c:v>95.492989156439862</c:v>
                </c:pt>
                <c:pt idx="6">
                  <c:v>99.570302652999587</c:v>
                </c:pt>
                <c:pt idx="7">
                  <c:v>103.08374245240223</c:v>
                </c:pt>
                <c:pt idx="8">
                  <c:v>101.31585027197106</c:v>
                </c:pt>
                <c:pt idx="9">
                  <c:v>97.965226804681095</c:v>
                </c:pt>
                <c:pt idx="10">
                  <c:v>102.2951121578851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7-4484-BFD7-6C6649819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579695"/>
        <c:axId val="1079575375"/>
      </c:lineChart>
      <c:catAx>
        <c:axId val="107957969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575375"/>
        <c:crosses val="autoZero"/>
        <c:auto val="1"/>
        <c:lblAlgn val="ctr"/>
        <c:lblOffset val="100"/>
        <c:noMultiLvlLbl val="0"/>
      </c:catAx>
      <c:valAx>
        <c:axId val="107957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57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Ad!$B$19</c:f>
              <c:strCache>
                <c:ptCount val="1"/>
                <c:pt idx="0">
                  <c:v>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Ad!$A$20:$A$30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Ad!$B$20:$B$30</c:f>
              <c:numCache>
                <c:formatCode>General</c:formatCode>
                <c:ptCount val="11"/>
                <c:pt idx="0">
                  <c:v>100</c:v>
                </c:pt>
                <c:pt idx="1">
                  <c:v>102.9750524680894</c:v>
                </c:pt>
                <c:pt idx="2">
                  <c:v>108.92070172280783</c:v>
                </c:pt>
                <c:pt idx="3">
                  <c:v>107.28547959282982</c:v>
                </c:pt>
                <c:pt idx="4">
                  <c:v>99.708363086006997</c:v>
                </c:pt>
                <c:pt idx="5">
                  <c:v>94.176936364566799</c:v>
                </c:pt>
                <c:pt idx="6">
                  <c:v>88.660356946222095</c:v>
                </c:pt>
                <c:pt idx="7">
                  <c:v>86.463983262110119</c:v>
                </c:pt>
                <c:pt idx="8">
                  <c:v>86.156474863135358</c:v>
                </c:pt>
                <c:pt idx="9">
                  <c:v>81.922247346300253</c:v>
                </c:pt>
                <c:pt idx="10">
                  <c:v>89.650542573998564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7-40E1-9E0A-2113120D7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830335"/>
        <c:axId val="2055828895"/>
      </c:lineChart>
      <c:catAx>
        <c:axId val="205583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828895"/>
        <c:crosses val="autoZero"/>
        <c:auto val="1"/>
        <c:lblAlgn val="ctr"/>
        <c:lblOffset val="100"/>
        <c:noMultiLvlLbl val="0"/>
      </c:catAx>
      <c:valAx>
        <c:axId val="20558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83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573405</xdr:colOff>
      <xdr:row>1</xdr:row>
      <xdr:rowOff>81915</xdr:rowOff>
    </xdr:from>
    <xdr:to>
      <xdr:col>21</xdr:col>
      <xdr:colOff>490855</xdr:colOff>
      <xdr:row>27</xdr:row>
      <xdr:rowOff>32385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90DCB0-4AF3-E158-9DC5-8350F8930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78675</xdr:colOff>
      <xdr:row>0</xdr:row>
      <xdr:rowOff>123613</xdr:rowOff>
    </xdr:from>
    <xdr:to>
      <xdr:col>27</xdr:col>
      <xdr:colOff>133350</xdr:colOff>
      <xdr:row>2</xdr:row>
      <xdr:rowOff>419100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3261BDAD-F09E-4431-9319-532F3262A1F1}"/>
            </a:ext>
          </a:extLst>
        </xdr:cNvPr>
        <xdr:cNvSpPr txBox="1"/>
      </xdr:nvSpPr>
      <xdr:spPr>
        <a:xfrm>
          <a:off x="13489875" y="125518"/>
          <a:ext cx="946215" cy="9889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% variação</a:t>
          </a:r>
          <a:r>
            <a:rPr lang="en-US" sz="1100" baseline="0"/>
            <a:t> vezes a participação na função de produção</a:t>
          </a:r>
          <a:endParaRPr lang="en-US" sz="1100"/>
        </a:p>
      </xdr:txBody>
    </xdr:sp>
    <xdr:clientData/>
  </xdr:twoCellAnchor>
  <xdr:twoCellAnchor>
    <xdr:from>
      <xdr:col>36</xdr:col>
      <xdr:colOff>518585</xdr:colOff>
      <xdr:row>4</xdr:row>
      <xdr:rowOff>698500</xdr:rowOff>
    </xdr:from>
    <xdr:to>
      <xdr:col>44</xdr:col>
      <xdr:colOff>179919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CCE468-7E85-454E-84C7-C36DADFCC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241934</xdr:colOff>
      <xdr:row>17</xdr:row>
      <xdr:rowOff>197167</xdr:rowOff>
    </xdr:from>
    <xdr:to>
      <xdr:col>6</xdr:col>
      <xdr:colOff>409573</xdr:colOff>
      <xdr:row>31</xdr:row>
      <xdr:rowOff>135168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3035E30-15E6-75AA-BA87-4A8738FF6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78675</xdr:colOff>
      <xdr:row>0</xdr:row>
      <xdr:rowOff>123613</xdr:rowOff>
    </xdr:from>
    <xdr:to>
      <xdr:col>13</xdr:col>
      <xdr:colOff>133350</xdr:colOff>
      <xdr:row>2</xdr:row>
      <xdr:rowOff>419100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C592389-8A3B-4A3A-9F5B-C42E8F8BB854}"/>
            </a:ext>
          </a:extLst>
        </xdr:cNvPr>
        <xdr:cNvSpPr txBox="1"/>
      </xdr:nvSpPr>
      <xdr:spPr>
        <a:xfrm>
          <a:off x="13489875" y="123613"/>
          <a:ext cx="950025" cy="9908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% variação</a:t>
          </a:r>
          <a:r>
            <a:rPr lang="en-US" sz="1100" baseline="0"/>
            <a:t> vezes a participação na função de produção</a:t>
          </a:r>
          <a:endParaRPr lang="en-US" sz="1100"/>
        </a:p>
      </xdr:txBody>
    </xdr:sp>
    <xdr:clientData/>
  </xdr:twoCellAnchor>
  <xdr:twoCellAnchor>
    <xdr:from>
      <xdr:col>5</xdr:col>
      <xdr:colOff>963930</xdr:colOff>
      <xdr:row>19</xdr:row>
      <xdr:rowOff>46672</xdr:rowOff>
    </xdr:from>
    <xdr:to>
      <xdr:col>11</xdr:col>
      <xdr:colOff>201930</xdr:colOff>
      <xdr:row>33</xdr:row>
      <xdr:rowOff>952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500E0F-9A23-C488-D7DE-44A840C04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9596-43D3-4534-A8A9-199374DA32BC}">
  <dimension ref="A1:U27"/>
  <sheetViews>
    <sheetView workbookViewId="0">
      <selection activeCell="H4" sqref="H4"/>
    </sheetView>
  </sheetViews>
  <sheetFormatPr defaultRowHeight="15" x14ac:dyDescent="0.25"/>
  <cols>
    <col min="1" max="1" width="8.5703125" customWidth="1"/>
    <col min="2" max="2" width="16.28515625" bestFit="1" customWidth="1"/>
    <col min="3" max="3" width="8.5703125" customWidth="1"/>
    <col min="8" max="8" width="18.7109375" bestFit="1" customWidth="1"/>
    <col min="11" max="11" width="15" customWidth="1"/>
    <col min="12" max="12" width="26.28515625" bestFit="1" customWidth="1"/>
    <col min="14" max="14" width="18" bestFit="1" customWidth="1"/>
    <col min="15" max="15" width="12.7109375" bestFit="1" customWidth="1"/>
    <col min="17" max="17" width="16.140625" bestFit="1" customWidth="1"/>
    <col min="18" max="18" width="12" bestFit="1" customWidth="1"/>
  </cols>
  <sheetData>
    <row r="1" spans="1:21" x14ac:dyDescent="0.25">
      <c r="A1" t="s">
        <v>255</v>
      </c>
      <c r="B1" t="s">
        <v>256</v>
      </c>
      <c r="K1" t="s">
        <v>336</v>
      </c>
    </row>
    <row r="2" spans="1:21" x14ac:dyDescent="0.25">
      <c r="A2">
        <v>2002</v>
      </c>
      <c r="B2" s="24">
        <v>98847.210893732597</v>
      </c>
      <c r="K2" t="s">
        <v>337</v>
      </c>
    </row>
    <row r="3" spans="1:21" x14ac:dyDescent="0.25">
      <c r="A3">
        <v>2003</v>
      </c>
      <c r="B3" s="24">
        <v>119325.398659762</v>
      </c>
    </row>
    <row r="4" spans="1:21" x14ac:dyDescent="0.25">
      <c r="A4">
        <v>2004</v>
      </c>
      <c r="B4" s="24">
        <v>131192.206296163</v>
      </c>
      <c r="K4" t="s">
        <v>263</v>
      </c>
      <c r="L4" t="s">
        <v>262</v>
      </c>
      <c r="N4" t="s">
        <v>265</v>
      </c>
      <c r="Q4" t="s">
        <v>264</v>
      </c>
    </row>
    <row r="5" spans="1:21" x14ac:dyDescent="0.25">
      <c r="A5">
        <v>2005</v>
      </c>
      <c r="B5" s="24">
        <v>136362.76860961199</v>
      </c>
      <c r="N5" t="s">
        <v>71</v>
      </c>
      <c r="O5" t="s">
        <v>261</v>
      </c>
      <c r="Q5" t="s">
        <v>72</v>
      </c>
      <c r="R5" t="s">
        <v>261</v>
      </c>
    </row>
    <row r="6" spans="1:21" x14ac:dyDescent="0.25">
      <c r="A6">
        <v>2006</v>
      </c>
      <c r="B6" s="24">
        <v>147622.59925841499</v>
      </c>
      <c r="K6">
        <v>2002</v>
      </c>
      <c r="L6" s="24">
        <v>98847.210893732001</v>
      </c>
      <c r="N6">
        <v>100</v>
      </c>
      <c r="O6" t="s">
        <v>73</v>
      </c>
      <c r="Q6">
        <v>100</v>
      </c>
      <c r="R6" t="s">
        <v>73</v>
      </c>
    </row>
    <row r="7" spans="1:21" x14ac:dyDescent="0.25">
      <c r="A7">
        <v>2007</v>
      </c>
      <c r="B7" s="24">
        <v>168009.75206016999</v>
      </c>
      <c r="H7" s="25">
        <f>L6*1000000*(1+O7/100)</f>
        <v>100854181347.05014</v>
      </c>
      <c r="I7">
        <f>LN(H7)</f>
        <v>25.336941561538708</v>
      </c>
      <c r="K7">
        <v>2003</v>
      </c>
      <c r="L7" s="24">
        <v>119325.39865976293</v>
      </c>
      <c r="N7">
        <v>102.03037641140506</v>
      </c>
      <c r="O7">
        <v>2.030376411405066</v>
      </c>
      <c r="Q7">
        <v>118.31477591310897</v>
      </c>
      <c r="R7">
        <v>18.314775913108971</v>
      </c>
    </row>
    <row r="8" spans="1:21" x14ac:dyDescent="0.25">
      <c r="A8">
        <v>2008</v>
      </c>
      <c r="B8" s="24">
        <v>190229.82244171601</v>
      </c>
      <c r="H8" s="25">
        <f>H7*(1+O8/100)</f>
        <v>104158527249.41277</v>
      </c>
      <c r="I8">
        <f t="shared" ref="I8:I25" si="0">LN(H8)</f>
        <v>25.369179875996156</v>
      </c>
      <c r="K8">
        <v>2004</v>
      </c>
      <c r="L8" s="24">
        <v>131192.20629615753</v>
      </c>
      <c r="N8">
        <v>105.37325869658662</v>
      </c>
      <c r="O8">
        <v>3.276359847681487</v>
      </c>
      <c r="Q8">
        <v>125.95435991717822</v>
      </c>
      <c r="R8">
        <v>6.4569990900205099</v>
      </c>
    </row>
    <row r="9" spans="1:21" x14ac:dyDescent="0.25">
      <c r="A9">
        <v>2009</v>
      </c>
      <c r="B9" s="24">
        <v>204344.940205049</v>
      </c>
      <c r="H9" s="25">
        <f t="shared" ref="H9:H25" si="1">H8*(1+O9/100)</f>
        <v>101303765737.89671</v>
      </c>
      <c r="I9">
        <f t="shared" si="0"/>
        <v>25.341389421625575</v>
      </c>
      <c r="K9">
        <v>2005</v>
      </c>
      <c r="L9" s="24">
        <v>136362.76860961367</v>
      </c>
      <c r="N9">
        <v>102.48520400520525</v>
      </c>
      <c r="O9">
        <v>-2.7407852116420495</v>
      </c>
      <c r="Q9">
        <v>134.60779825542235</v>
      </c>
      <c r="R9">
        <v>6.8702967836399065</v>
      </c>
    </row>
    <row r="10" spans="1:21" x14ac:dyDescent="0.25">
      <c r="A10">
        <v>2010</v>
      </c>
      <c r="B10" s="24">
        <v>241249.16390215</v>
      </c>
      <c r="H10" s="25">
        <f t="shared" si="1"/>
        <v>105417771689.08334</v>
      </c>
      <c r="I10">
        <f t="shared" si="0"/>
        <v>25.381197070691179</v>
      </c>
      <c r="K10">
        <v>2006</v>
      </c>
      <c r="L10" s="24">
        <v>147622.59925841412</v>
      </c>
      <c r="N10">
        <v>106.64718886445381</v>
      </c>
      <c r="O10">
        <v>4.0610592520625488</v>
      </c>
      <c r="Q10">
        <v>140.03578039365954</v>
      </c>
      <c r="R10">
        <v>4.0324425542845876</v>
      </c>
    </row>
    <row r="11" spans="1:21" x14ac:dyDescent="0.25">
      <c r="A11">
        <v>2011</v>
      </c>
      <c r="B11" s="24">
        <v>265056.41629124503</v>
      </c>
      <c r="H11" s="25">
        <f t="shared" si="1"/>
        <v>112522537591.31302</v>
      </c>
      <c r="I11">
        <f t="shared" si="0"/>
        <v>25.446419372671684</v>
      </c>
      <c r="K11">
        <v>2007</v>
      </c>
      <c r="L11" s="24">
        <v>168009.75206017299</v>
      </c>
      <c r="N11">
        <v>113.83481291372294</v>
      </c>
      <c r="O11">
        <v>6.7396282319306611</v>
      </c>
      <c r="Q11">
        <v>149.31208952147176</v>
      </c>
      <c r="R11">
        <v>6.6242421056499134</v>
      </c>
    </row>
    <row r="12" spans="1:21" x14ac:dyDescent="0.25">
      <c r="A12">
        <v>2012</v>
      </c>
      <c r="B12" s="24">
        <v>287587.01868002699</v>
      </c>
      <c r="H12" s="25">
        <f t="shared" si="1"/>
        <v>115754891297.48824</v>
      </c>
      <c r="I12">
        <f t="shared" si="0"/>
        <v>25.47474078644964</v>
      </c>
      <c r="K12">
        <v>2008</v>
      </c>
      <c r="L12" s="24">
        <v>190229.82244171679</v>
      </c>
      <c r="N12">
        <v>117.10486340573959</v>
      </c>
      <c r="O12">
        <v>2.8726278089419521</v>
      </c>
      <c r="Q12">
        <v>164.33847443459578</v>
      </c>
      <c r="R12">
        <v>10.063742970366206</v>
      </c>
    </row>
    <row r="13" spans="1:21" x14ac:dyDescent="0.25">
      <c r="A13">
        <v>2013</v>
      </c>
      <c r="B13" s="24">
        <v>332292.72607540397</v>
      </c>
      <c r="H13" s="25">
        <f t="shared" si="1"/>
        <v>114482341124.60472</v>
      </c>
      <c r="I13">
        <f t="shared" si="0"/>
        <v>25.463686422060672</v>
      </c>
      <c r="K13">
        <v>2009</v>
      </c>
      <c r="L13" s="24">
        <v>204344.94020505258</v>
      </c>
      <c r="N13">
        <v>115.81747232876565</v>
      </c>
      <c r="O13">
        <v>-1.0993489420789038</v>
      </c>
      <c r="Q13">
        <v>178.49472521062424</v>
      </c>
      <c r="R13">
        <v>8.6140818969707702</v>
      </c>
    </row>
    <row r="14" spans="1:21" x14ac:dyDescent="0.25">
      <c r="A14">
        <v>2014</v>
      </c>
      <c r="B14" s="24">
        <v>357816.423826502</v>
      </c>
      <c r="H14" s="25">
        <f t="shared" si="1"/>
        <v>122362101811.63284</v>
      </c>
      <c r="I14">
        <f t="shared" si="0"/>
        <v>25.530250533358743</v>
      </c>
      <c r="K14">
        <v>2010</v>
      </c>
      <c r="L14" s="24">
        <v>241249.16390214986</v>
      </c>
      <c r="N14">
        <v>123.78912941021778</v>
      </c>
      <c r="O14">
        <v>6.8829485924398082</v>
      </c>
      <c r="Q14">
        <v>197.16003593460226</v>
      </c>
      <c r="R14">
        <v>10.457065721103476</v>
      </c>
      <c r="U14">
        <f>Q25/Q14</f>
        <v>2.1965458720954336</v>
      </c>
    </row>
    <row r="15" spans="1:21" x14ac:dyDescent="0.25">
      <c r="A15">
        <v>2015</v>
      </c>
      <c r="B15" s="24">
        <v>381992.60111789999</v>
      </c>
      <c r="H15" s="25">
        <f t="shared" si="1"/>
        <v>127966612471.03549</v>
      </c>
      <c r="I15">
        <f t="shared" si="0"/>
        <v>25.575035226771305</v>
      </c>
      <c r="K15">
        <v>2011</v>
      </c>
      <c r="L15" s="24">
        <v>265056.41629124561</v>
      </c>
      <c r="N15">
        <v>129.45900174017953</v>
      </c>
      <c r="O15">
        <v>4.5802667463414215</v>
      </c>
      <c r="Q15">
        <v>207.12935286244272</v>
      </c>
      <c r="R15">
        <v>5.0564592771464412</v>
      </c>
    </row>
    <row r="16" spans="1:21" x14ac:dyDescent="0.25">
      <c r="A16">
        <v>2016</v>
      </c>
      <c r="B16" s="24">
        <v>408789.52805204497</v>
      </c>
      <c r="H16" s="25">
        <f t="shared" si="1"/>
        <v>125266669436.14439</v>
      </c>
      <c r="I16">
        <f t="shared" si="0"/>
        <v>25.553710657366324</v>
      </c>
      <c r="K16">
        <v>2012</v>
      </c>
      <c r="L16" s="24">
        <v>287587.01868002623</v>
      </c>
      <c r="N16">
        <v>126.72757107007824</v>
      </c>
      <c r="O16">
        <v>-2.1098808374740874</v>
      </c>
      <c r="Q16">
        <v>229.57983953315369</v>
      </c>
      <c r="R16">
        <v>10.838872598429173</v>
      </c>
    </row>
    <row r="17" spans="1:18" x14ac:dyDescent="0.25">
      <c r="A17">
        <v>2017</v>
      </c>
      <c r="B17" s="24">
        <v>423270.04730193003</v>
      </c>
      <c r="H17" s="25">
        <f t="shared" si="1"/>
        <v>135949586766.69714</v>
      </c>
      <c r="I17">
        <f t="shared" si="0"/>
        <v>25.635549968422605</v>
      </c>
      <c r="K17">
        <v>2013</v>
      </c>
      <c r="L17" s="24">
        <v>332292.72607539996</v>
      </c>
      <c r="N17">
        <v>137.53507614175666</v>
      </c>
      <c r="O17">
        <v>8.5281403095006425</v>
      </c>
      <c r="Q17">
        <v>244.42349107367795</v>
      </c>
      <c r="R17">
        <v>6.465572748333881</v>
      </c>
    </row>
    <row r="18" spans="1:18" x14ac:dyDescent="0.25">
      <c r="A18">
        <v>2018</v>
      </c>
      <c r="B18" s="24">
        <v>457293.95758708997</v>
      </c>
      <c r="H18" s="25">
        <f t="shared" si="1"/>
        <v>135572264348.93593</v>
      </c>
      <c r="I18">
        <f t="shared" si="0"/>
        <v>25.632770651331921</v>
      </c>
      <c r="K18">
        <v>2014</v>
      </c>
      <c r="L18" s="24">
        <v>357816.42382650374</v>
      </c>
      <c r="N18">
        <v>137.15335326424739</v>
      </c>
      <c r="O18">
        <v>-0.27754583646417696</v>
      </c>
      <c r="Q18">
        <v>263.93040312844221</v>
      </c>
      <c r="R18">
        <v>7.9807844855976473</v>
      </c>
    </row>
    <row r="19" spans="1:18" x14ac:dyDescent="0.25">
      <c r="A19">
        <v>2019</v>
      </c>
      <c r="B19" s="24">
        <v>482464.17747065</v>
      </c>
      <c r="H19" s="25">
        <f t="shared" si="1"/>
        <v>129326725931.91071</v>
      </c>
      <c r="I19">
        <f t="shared" si="0"/>
        <v>25.585607798441202</v>
      </c>
      <c r="K19">
        <v>2015</v>
      </c>
      <c r="L19" s="24">
        <v>381992.60111789923</v>
      </c>
      <c r="N19">
        <v>130.83497729738309</v>
      </c>
      <c r="O19">
        <v>-4.6067965649304599</v>
      </c>
      <c r="Q19">
        <v>295.37019387548315</v>
      </c>
      <c r="R19">
        <v>11.912151981877095</v>
      </c>
    </row>
    <row r="20" spans="1:18" x14ac:dyDescent="0.25">
      <c r="A20">
        <v>2020</v>
      </c>
      <c r="B20" s="24">
        <v>470941.84604946931</v>
      </c>
      <c r="H20" s="25">
        <f t="shared" si="1"/>
        <v>126200052544.59422</v>
      </c>
      <c r="I20">
        <f t="shared" si="0"/>
        <v>25.56113420341314</v>
      </c>
      <c r="K20">
        <v>2016</v>
      </c>
      <c r="L20" s="24">
        <v>408789.52805204532</v>
      </c>
      <c r="N20">
        <v>127.67183960331312</v>
      </c>
      <c r="O20">
        <v>-2.4176544830823654</v>
      </c>
      <c r="Q20">
        <v>323.92183664709256</v>
      </c>
      <c r="R20">
        <v>9.6663926704959593</v>
      </c>
    </row>
    <row r="21" spans="1:18" x14ac:dyDescent="0.25">
      <c r="A21" t="s">
        <v>59</v>
      </c>
      <c r="B21" s="24">
        <v>584601.62037035334</v>
      </c>
      <c r="H21" s="25">
        <f t="shared" si="1"/>
        <v>128467391958.79465</v>
      </c>
      <c r="I21">
        <f t="shared" si="0"/>
        <v>25.578940950003876</v>
      </c>
      <c r="K21">
        <v>2017</v>
      </c>
      <c r="L21" s="24">
        <v>423270.04730193055</v>
      </c>
      <c r="N21">
        <v>129.96562148516912</v>
      </c>
      <c r="O21">
        <v>1.7966231934802401</v>
      </c>
      <c r="Q21">
        <v>329.47664060751907</v>
      </c>
      <c r="R21">
        <v>1.714859367903121</v>
      </c>
    </row>
    <row r="22" spans="1:18" x14ac:dyDescent="0.25">
      <c r="A22" t="s">
        <v>60</v>
      </c>
      <c r="B22" s="24">
        <v>594054.63531789614</v>
      </c>
      <c r="H22" s="25">
        <f t="shared" si="1"/>
        <v>130990058580.24211</v>
      </c>
      <c r="I22">
        <f t="shared" si="0"/>
        <v>25.598387268567429</v>
      </c>
      <c r="K22">
        <v>2018</v>
      </c>
      <c r="L22" s="24">
        <v>457293.95758708939</v>
      </c>
      <c r="N22">
        <v>132.51770828523019</v>
      </c>
      <c r="O22">
        <v>1.9636629832546104</v>
      </c>
      <c r="Q22">
        <v>349.10585012599233</v>
      </c>
      <c r="R22">
        <v>5.9576938390166756</v>
      </c>
    </row>
    <row r="23" spans="1:18" x14ac:dyDescent="0.25">
      <c r="A23" t="s">
        <v>257</v>
      </c>
      <c r="H23" s="25">
        <f t="shared" si="1"/>
        <v>132373662329.6685</v>
      </c>
      <c r="I23">
        <f t="shared" si="0"/>
        <v>25.608894535658614</v>
      </c>
      <c r="K23">
        <v>2019</v>
      </c>
      <c r="L23" s="24">
        <v>482464.17747065285</v>
      </c>
      <c r="N23">
        <v>133.91744808255626</v>
      </c>
      <c r="O23">
        <v>1.0562662269357093</v>
      </c>
      <c r="Q23">
        <v>364.47142806180398</v>
      </c>
      <c r="R23">
        <v>4.4014094665747461</v>
      </c>
    </row>
    <row r="24" spans="1:18" x14ac:dyDescent="0.25">
      <c r="A24" t="s">
        <v>258</v>
      </c>
      <c r="H24" s="25">
        <f t="shared" si="1"/>
        <v>122826473132.31847</v>
      </c>
      <c r="I24">
        <f t="shared" si="0"/>
        <v>25.534038408678992</v>
      </c>
      <c r="K24">
        <v>2020</v>
      </c>
      <c r="L24" s="24">
        <v>470941.84604946926</v>
      </c>
      <c r="N24">
        <v>124.25891638395936</v>
      </c>
      <c r="O24">
        <v>-7.2123026811582447</v>
      </c>
      <c r="Q24">
        <v>383.42047446248284</v>
      </c>
      <c r="R24">
        <v>5.199048523898453</v>
      </c>
    </row>
    <row r="25" spans="1:18" x14ac:dyDescent="0.25">
      <c r="A25" t="s">
        <v>259</v>
      </c>
      <c r="H25" s="25">
        <f t="shared" si="1"/>
        <v>134223624450.21643</v>
      </c>
      <c r="I25">
        <f t="shared" si="0"/>
        <v>25.622773085113252</v>
      </c>
      <c r="K25">
        <v>2021</v>
      </c>
      <c r="L25" s="24">
        <v>581283.67730345915</v>
      </c>
      <c r="N25">
        <v>135.78898507770404</v>
      </c>
      <c r="O25">
        <v>9.2790674740127486</v>
      </c>
      <c r="Q25">
        <v>433.07106307433799</v>
      </c>
      <c r="R25">
        <v>12.949383749383836</v>
      </c>
    </row>
    <row r="26" spans="1:18" x14ac:dyDescent="0.25">
      <c r="K26" t="s">
        <v>257</v>
      </c>
    </row>
    <row r="27" spans="1:18" x14ac:dyDescent="0.25">
      <c r="K27" t="s">
        <v>260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FAF3-47A1-4C17-BF57-D58864DED85E}">
  <dimension ref="A1:M545"/>
  <sheetViews>
    <sheetView workbookViewId="0">
      <selection activeCell="C17" sqref="C17"/>
    </sheetView>
  </sheetViews>
  <sheetFormatPr defaultRowHeight="15" x14ac:dyDescent="0.25"/>
  <cols>
    <col min="1" max="1" width="17.140625" customWidth="1"/>
    <col min="2" max="2" width="17.7109375" bestFit="1" customWidth="1"/>
    <col min="3" max="3" width="20.140625" bestFit="1" customWidth="1"/>
    <col min="4" max="4" width="21.140625" bestFit="1" customWidth="1"/>
    <col min="5" max="5" width="8.28515625" customWidth="1"/>
    <col min="6" max="6" width="30.5703125" customWidth="1"/>
    <col min="7" max="7" width="29.85546875" bestFit="1" customWidth="1"/>
    <col min="9" max="9" width="18.7109375" bestFit="1" customWidth="1"/>
    <col min="10" max="11" width="6.85546875" bestFit="1" customWidth="1"/>
    <col min="12" max="12" width="7.7109375" bestFit="1" customWidth="1"/>
    <col min="13" max="13" width="9.85546875" bestFit="1" customWidth="1"/>
    <col min="14" max="14" width="16.5703125" bestFit="1" customWidth="1"/>
    <col min="15" max="15" width="12" bestFit="1" customWidth="1"/>
  </cols>
  <sheetData>
    <row r="1" spans="1:13" x14ac:dyDescent="0.25">
      <c r="B1" s="21" t="s">
        <v>266</v>
      </c>
      <c r="C1" s="21" t="s">
        <v>267</v>
      </c>
      <c r="F1" s="110" t="s">
        <v>270</v>
      </c>
      <c r="G1" s="110"/>
      <c r="I1" t="s">
        <v>271</v>
      </c>
      <c r="J1" t="s">
        <v>61</v>
      </c>
      <c r="K1" t="s">
        <v>62</v>
      </c>
      <c r="L1" t="s">
        <v>67</v>
      </c>
      <c r="M1" t="s">
        <v>68</v>
      </c>
    </row>
    <row r="2" spans="1:13" x14ac:dyDescent="0.25">
      <c r="A2" s="21" t="s">
        <v>269</v>
      </c>
      <c r="B2" t="s">
        <v>268</v>
      </c>
      <c r="C2" t="s">
        <v>268</v>
      </c>
      <c r="D2" t="s">
        <v>125</v>
      </c>
      <c r="F2" s="21" t="s">
        <v>273</v>
      </c>
      <c r="G2" t="s">
        <v>274</v>
      </c>
    </row>
    <row r="3" spans="1:13" x14ac:dyDescent="0.25">
      <c r="A3">
        <v>2010</v>
      </c>
      <c r="B3" s="24">
        <v>17368541879.699993</v>
      </c>
      <c r="C3" s="24">
        <v>19355180668.09</v>
      </c>
      <c r="D3" s="25">
        <f>B3+C3</f>
        <v>36723722547.789993</v>
      </c>
      <c r="E3" s="24"/>
      <c r="F3" s="24">
        <v>658271647431.16992</v>
      </c>
      <c r="G3" s="25">
        <f t="shared" ref="G3:G14" si="0">F3*0.063</f>
        <v>41471113788.163704</v>
      </c>
      <c r="I3" s="24">
        <v>241249163902.14999</v>
      </c>
      <c r="J3" s="4">
        <f t="shared" ref="J3:J14" si="1">(B3+C3)/I3</f>
        <v>0.15222321169446637</v>
      </c>
      <c r="K3" s="4">
        <f>G3/I3</f>
        <v>0.17190158555320123</v>
      </c>
      <c r="L3" s="4">
        <f>D33/D3</f>
        <v>0.11167503819235787</v>
      </c>
      <c r="M3" s="20">
        <f t="shared" ref="M3:M14" si="2">G33/G3</f>
        <v>7.0503206836722745E-2</v>
      </c>
    </row>
    <row r="4" spans="1:13" x14ac:dyDescent="0.25">
      <c r="A4">
        <v>2011</v>
      </c>
      <c r="B4" s="24">
        <v>19866492699.730022</v>
      </c>
      <c r="C4" s="24">
        <v>20953285324.669998</v>
      </c>
      <c r="D4" s="25">
        <f t="shared" ref="D4:D14" si="3">B4+C4</f>
        <v>40819778024.400024</v>
      </c>
      <c r="E4" s="24"/>
      <c r="F4" s="24">
        <v>718270384365.07983</v>
      </c>
      <c r="G4" s="25">
        <f t="shared" si="0"/>
        <v>45251034215.000031</v>
      </c>
      <c r="I4" s="24">
        <v>265056416291.24503</v>
      </c>
      <c r="J4" s="4">
        <f t="shared" si="1"/>
        <v>0.15400411201344807</v>
      </c>
      <c r="K4" s="4">
        <f>G4/I4</f>
        <v>0.17072227432999779</v>
      </c>
      <c r="L4" s="4">
        <f t="shared" ref="L4:L14" si="4">D34/D4</f>
        <v>8.3313418636356898E-2</v>
      </c>
      <c r="M4" s="20">
        <f t="shared" si="2"/>
        <v>6.3446127608634745E-2</v>
      </c>
    </row>
    <row r="5" spans="1:13" x14ac:dyDescent="0.25">
      <c r="A5">
        <v>2012</v>
      </c>
      <c r="B5" s="24">
        <v>22884205589.82003</v>
      </c>
      <c r="C5" s="24">
        <v>23104362570.650002</v>
      </c>
      <c r="D5" s="25">
        <f t="shared" si="3"/>
        <v>45988568160.470032</v>
      </c>
      <c r="E5" s="24"/>
      <c r="F5" s="24">
        <v>815594293148.59009</v>
      </c>
      <c r="G5" s="25">
        <f t="shared" si="0"/>
        <v>51382440468.361176</v>
      </c>
      <c r="I5" s="24">
        <v>287587018680.02698</v>
      </c>
      <c r="J5" s="4">
        <f t="shared" si="1"/>
        <v>0.1599118359776785</v>
      </c>
      <c r="K5" s="4">
        <f>G5/I5</f>
        <v>0.17866745412987484</v>
      </c>
      <c r="L5" s="4">
        <f t="shared" si="4"/>
        <v>8.5066452783643609E-2</v>
      </c>
      <c r="M5" s="20">
        <f t="shared" si="2"/>
        <v>6.3233769654374092E-2</v>
      </c>
    </row>
    <row r="6" spans="1:13" x14ac:dyDescent="0.25">
      <c r="A6">
        <v>2013</v>
      </c>
      <c r="B6" s="24">
        <v>23563372390.180012</v>
      </c>
      <c r="C6" s="24">
        <v>26539105633.869999</v>
      </c>
      <c r="D6" s="25">
        <f t="shared" si="3"/>
        <v>50102478024.050011</v>
      </c>
      <c r="E6" s="24"/>
      <c r="F6" s="24">
        <v>923179368413.93018</v>
      </c>
      <c r="G6" s="25">
        <f t="shared" si="0"/>
        <v>58160300210.077599</v>
      </c>
      <c r="I6" s="24">
        <v>332292726075.40399</v>
      </c>
      <c r="J6" s="4">
        <f t="shared" si="1"/>
        <v>0.15077813654181746</v>
      </c>
      <c r="K6" s="4">
        <f>G6/I6</f>
        <v>0.17502730468099334</v>
      </c>
      <c r="L6" s="4">
        <f t="shared" si="4"/>
        <v>6.8615323958623325E-2</v>
      </c>
      <c r="M6" s="20">
        <f t="shared" si="2"/>
        <v>6.9393877214038641E-2</v>
      </c>
    </row>
    <row r="7" spans="1:13" x14ac:dyDescent="0.25">
      <c r="A7">
        <v>2014</v>
      </c>
      <c r="B7" s="24">
        <v>25502193055.769997</v>
      </c>
      <c r="C7" s="24">
        <v>30349248660.370003</v>
      </c>
      <c r="D7" s="25">
        <f t="shared" si="3"/>
        <v>55851441716.139999</v>
      </c>
      <c r="E7" s="24"/>
      <c r="F7" s="24">
        <v>997472650544.63037</v>
      </c>
      <c r="G7" s="25">
        <f t="shared" si="0"/>
        <v>62840776984.311714</v>
      </c>
      <c r="I7" s="24">
        <v>357816423826.50201</v>
      </c>
      <c r="J7" s="4">
        <f t="shared" si="1"/>
        <v>0.1560896537919155</v>
      </c>
      <c r="K7" s="4">
        <f t="shared" ref="K7:K13" si="5">G7/I7</f>
        <v>0.17562295300000522</v>
      </c>
      <c r="L7" s="4">
        <f t="shared" si="4"/>
        <v>7.2735036638383807E-2</v>
      </c>
      <c r="M7" s="20">
        <f t="shared" si="2"/>
        <v>7.6284942317649415E-2</v>
      </c>
    </row>
    <row r="8" spans="1:13" x14ac:dyDescent="0.25">
      <c r="A8">
        <v>2015</v>
      </c>
      <c r="B8" s="24">
        <v>27992680473.760021</v>
      </c>
      <c r="C8" s="24">
        <v>32121886863.329998</v>
      </c>
      <c r="D8" s="25">
        <f t="shared" si="3"/>
        <v>60114567337.090019</v>
      </c>
      <c r="E8" s="24"/>
      <c r="F8" s="24">
        <v>1055275399273.4838</v>
      </c>
      <c r="G8" s="25">
        <f t="shared" si="0"/>
        <v>66482350154.229477</v>
      </c>
      <c r="I8" s="24">
        <v>381992601117.90002</v>
      </c>
      <c r="J8" s="4">
        <f t="shared" si="1"/>
        <v>0.15737102541034811</v>
      </c>
      <c r="K8" s="4">
        <f t="shared" si="5"/>
        <v>0.17404093681309299</v>
      </c>
      <c r="L8" s="4">
        <f t="shared" si="4"/>
        <v>5.0632866871222156E-2</v>
      </c>
      <c r="M8" s="20">
        <f t="shared" si="2"/>
        <v>5.0827052219130156E-2</v>
      </c>
    </row>
    <row r="9" spans="1:13" x14ac:dyDescent="0.25">
      <c r="A9">
        <v>2016</v>
      </c>
      <c r="B9" s="24">
        <v>28915851836.569996</v>
      </c>
      <c r="C9" s="24">
        <v>33627075133.25</v>
      </c>
      <c r="D9" s="25">
        <f t="shared" si="3"/>
        <v>62542926969.819992</v>
      </c>
      <c r="E9" s="24"/>
      <c r="F9" s="24">
        <v>1155446455193.3455</v>
      </c>
      <c r="G9" s="25">
        <f t="shared" si="0"/>
        <v>72793126677.180771</v>
      </c>
      <c r="I9" s="24">
        <v>408789528052.04498</v>
      </c>
      <c r="J9" s="4">
        <f t="shared" si="1"/>
        <v>0.15299542350766224</v>
      </c>
      <c r="K9" s="4">
        <f t="shared" si="5"/>
        <v>0.17806993986380473</v>
      </c>
      <c r="L9" s="4">
        <f t="shared" si="4"/>
        <v>4.7362270081625607E-2</v>
      </c>
      <c r="M9" s="20">
        <f t="shared" si="2"/>
        <v>5.5665608842204201E-2</v>
      </c>
    </row>
    <row r="10" spans="1:13" x14ac:dyDescent="0.25">
      <c r="A10">
        <v>2017</v>
      </c>
      <c r="B10" s="24">
        <v>30121372741.020039</v>
      </c>
      <c r="C10" s="24">
        <v>35776092628.290001</v>
      </c>
      <c r="D10" s="25">
        <f t="shared" si="3"/>
        <v>65897465369.310043</v>
      </c>
      <c r="E10" s="24"/>
      <c r="F10" s="24">
        <v>1243663019545.0679</v>
      </c>
      <c r="G10" s="25">
        <f t="shared" si="0"/>
        <v>78350770231.339279</v>
      </c>
      <c r="I10" s="24">
        <v>423270047301.92999</v>
      </c>
      <c r="J10" s="4">
        <f t="shared" si="1"/>
        <v>0.15568657831888491</v>
      </c>
      <c r="K10" s="4">
        <f t="shared" si="5"/>
        <v>0.18510823227576401</v>
      </c>
      <c r="L10" s="4">
        <f t="shared" si="4"/>
        <v>3.8947157238240077E-2</v>
      </c>
      <c r="M10" s="20">
        <f t="shared" si="2"/>
        <v>3.7083947975641768E-2</v>
      </c>
    </row>
    <row r="11" spans="1:13" x14ac:dyDescent="0.25">
      <c r="A11">
        <v>2018</v>
      </c>
      <c r="B11" s="24">
        <v>33831686671.859985</v>
      </c>
      <c r="C11" s="24">
        <v>39010731216.970001</v>
      </c>
      <c r="D11" s="25">
        <f t="shared" si="3"/>
        <v>72842417888.829987</v>
      </c>
      <c r="E11" s="24"/>
      <c r="F11" s="24">
        <v>1296788405247.5518</v>
      </c>
      <c r="G11" s="25">
        <f t="shared" si="0"/>
        <v>81697669530.595764</v>
      </c>
      <c r="I11" s="24">
        <v>457293957587.08997</v>
      </c>
      <c r="J11" s="4">
        <f t="shared" si="1"/>
        <v>0.15929013860839702</v>
      </c>
      <c r="K11" s="4">
        <f t="shared" si="5"/>
        <v>0.17865460099598351</v>
      </c>
      <c r="L11" s="4">
        <f t="shared" si="4"/>
        <v>4.9936426481633718E-2</v>
      </c>
      <c r="M11" s="20">
        <f t="shared" si="2"/>
        <v>4.0482920081234254E-2</v>
      </c>
    </row>
    <row r="12" spans="1:13" x14ac:dyDescent="0.25">
      <c r="A12">
        <v>2019</v>
      </c>
      <c r="B12" s="24">
        <v>35981665367.509979</v>
      </c>
      <c r="C12" s="24">
        <v>39808416046.929993</v>
      </c>
      <c r="D12" s="25">
        <f t="shared" si="3"/>
        <v>75790081414.439972</v>
      </c>
      <c r="E12" s="24"/>
      <c r="F12" s="24">
        <v>1357789948413.5786</v>
      </c>
      <c r="G12" s="25">
        <f t="shared" si="0"/>
        <v>85540766750.05545</v>
      </c>
      <c r="I12" s="24">
        <v>482464177470.65002</v>
      </c>
      <c r="J12" s="4">
        <f t="shared" si="1"/>
        <v>0.15708955183320433</v>
      </c>
      <c r="K12" s="4">
        <f t="shared" si="5"/>
        <v>0.17729972657971937</v>
      </c>
      <c r="L12" s="4">
        <f t="shared" si="4"/>
        <v>4.3284165908218375E-2</v>
      </c>
      <c r="M12" s="20">
        <f t="shared" si="2"/>
        <v>4.1680494070844093E-2</v>
      </c>
    </row>
    <row r="13" spans="1:13" x14ac:dyDescent="0.25">
      <c r="A13">
        <v>2020</v>
      </c>
      <c r="B13" s="24">
        <v>39503379729.340027</v>
      </c>
      <c r="C13" s="24">
        <v>41365887651.449997</v>
      </c>
      <c r="D13" s="25">
        <f t="shared" si="3"/>
        <v>80869267380.790024</v>
      </c>
      <c r="E13" s="24"/>
      <c r="F13" s="24">
        <v>1762416196946.6074</v>
      </c>
      <c r="G13" s="25">
        <f t="shared" si="0"/>
        <v>111032220407.63626</v>
      </c>
      <c r="I13" s="24">
        <v>470941846049.4693</v>
      </c>
      <c r="J13" s="4">
        <f t="shared" si="1"/>
        <v>0.17171816023393946</v>
      </c>
      <c r="K13" s="4">
        <f t="shared" si="5"/>
        <v>0.23576630817379746</v>
      </c>
      <c r="L13" s="4">
        <f t="shared" si="4"/>
        <v>5.1943577034405518E-2</v>
      </c>
      <c r="M13" s="20">
        <f t="shared" si="2"/>
        <v>5.9523112578566628E-2</v>
      </c>
    </row>
    <row r="14" spans="1:13" x14ac:dyDescent="0.25">
      <c r="A14">
        <v>2021</v>
      </c>
      <c r="B14" s="24">
        <v>44155193137.609985</v>
      </c>
      <c r="C14" s="24">
        <v>44963460912.800003</v>
      </c>
      <c r="D14" s="25">
        <f t="shared" si="3"/>
        <v>89118654050.409988</v>
      </c>
      <c r="F14" s="24">
        <v>1563921094371.9526</v>
      </c>
      <c r="G14" s="25">
        <f t="shared" si="0"/>
        <v>98527028945.433014</v>
      </c>
      <c r="I14" s="24">
        <v>581283000000.677</v>
      </c>
      <c r="J14" s="4">
        <f t="shared" si="1"/>
        <v>0.15331371130809984</v>
      </c>
      <c r="K14" s="4">
        <f>G14/I14</f>
        <v>0.16949924381982315</v>
      </c>
      <c r="L14" s="4">
        <f t="shared" si="4"/>
        <v>6.4722372159114375E-2</v>
      </c>
      <c r="M14" s="20">
        <f t="shared" si="2"/>
        <v>3.6337022257701246E-2</v>
      </c>
    </row>
    <row r="15" spans="1:13" x14ac:dyDescent="0.25">
      <c r="B15" s="24"/>
      <c r="D15" s="24"/>
    </row>
    <row r="16" spans="1:13" x14ac:dyDescent="0.25">
      <c r="F16" t="s">
        <v>58</v>
      </c>
    </row>
    <row r="17" spans="1:7" x14ac:dyDescent="0.25">
      <c r="F17" t="s">
        <v>272</v>
      </c>
    </row>
    <row r="22" spans="1:7" x14ac:dyDescent="0.25">
      <c r="A22" t="s">
        <v>66</v>
      </c>
      <c r="B22" t="s">
        <v>74</v>
      </c>
      <c r="C22" t="s">
        <v>64</v>
      </c>
      <c r="D22" t="s">
        <v>65</v>
      </c>
    </row>
    <row r="23" spans="1:7" x14ac:dyDescent="0.25">
      <c r="A23">
        <v>2010</v>
      </c>
      <c r="B23" s="26">
        <v>28780980873.77</v>
      </c>
      <c r="C23" s="26">
        <v>9425800205.6800003</v>
      </c>
      <c r="D23" s="26">
        <f>B23-C23</f>
        <v>19355180668.09</v>
      </c>
    </row>
    <row r="24" spans="1:7" x14ac:dyDescent="0.25">
      <c r="A24">
        <v>2011</v>
      </c>
      <c r="B24" s="26">
        <v>30104314755.639999</v>
      </c>
      <c r="C24" s="26">
        <v>9151029430.9699993</v>
      </c>
      <c r="D24" s="26">
        <f>B24-C24</f>
        <v>20953285324.669998</v>
      </c>
    </row>
    <row r="25" spans="1:7" x14ac:dyDescent="0.25">
      <c r="A25">
        <v>2012</v>
      </c>
      <c r="B25" s="26">
        <v>33232382765.5</v>
      </c>
      <c r="C25" s="26">
        <v>10128020194.85</v>
      </c>
      <c r="D25" s="26">
        <f>B25-C25</f>
        <v>23104362570.650002</v>
      </c>
    </row>
    <row r="26" spans="1:7" x14ac:dyDescent="0.25">
      <c r="A26" t="s">
        <v>66</v>
      </c>
      <c r="B26" t="s">
        <v>63</v>
      </c>
      <c r="C26" t="s">
        <v>64</v>
      </c>
      <c r="D26" t="s">
        <v>65</v>
      </c>
    </row>
    <row r="27" spans="1:7" x14ac:dyDescent="0.25">
      <c r="A27">
        <v>2010</v>
      </c>
      <c r="B27" s="26">
        <v>28280087507.07</v>
      </c>
      <c r="C27" s="26">
        <v>9312112575.8199997</v>
      </c>
      <c r="D27" s="26">
        <f>B27-C27</f>
        <v>18967974931.25</v>
      </c>
    </row>
    <row r="28" spans="1:7" x14ac:dyDescent="0.25">
      <c r="A28">
        <v>2011</v>
      </c>
      <c r="B28" s="26">
        <v>29640688084.59</v>
      </c>
      <c r="C28" s="26">
        <v>9001248382.0699997</v>
      </c>
      <c r="D28" s="26">
        <f>B28-C28</f>
        <v>20639439702.52</v>
      </c>
    </row>
    <row r="29" spans="1:7" x14ac:dyDescent="0.25">
      <c r="A29">
        <v>2012</v>
      </c>
      <c r="B29" s="26">
        <v>32749597705.959999</v>
      </c>
      <c r="C29" s="26">
        <v>10099037887.969999</v>
      </c>
      <c r="D29" s="26">
        <f>B29-C29</f>
        <v>22650559817.989998</v>
      </c>
    </row>
    <row r="32" spans="1:7" x14ac:dyDescent="0.25">
      <c r="B32" t="s">
        <v>286</v>
      </c>
      <c r="C32" t="s">
        <v>287</v>
      </c>
      <c r="D32" t="s">
        <v>288</v>
      </c>
      <c r="F32" t="s">
        <v>289</v>
      </c>
      <c r="G32" t="s">
        <v>290</v>
      </c>
    </row>
    <row r="33" spans="1:7" x14ac:dyDescent="0.25">
      <c r="A33">
        <v>2010</v>
      </c>
      <c r="B33" s="26">
        <v>2236642949.6500015</v>
      </c>
      <c r="C33" s="26">
        <v>1864480168.4400001</v>
      </c>
      <c r="D33" s="26">
        <f>B33+C33</f>
        <v>4101123118.0900016</v>
      </c>
      <c r="E33" s="4">
        <f t="shared" ref="E33:E44" si="6">D33/(B3+C3)</f>
        <v>0.11167503819235787</v>
      </c>
      <c r="F33" s="38">
        <v>46410262113.589996</v>
      </c>
      <c r="G33" s="25">
        <f>F33*0.063</f>
        <v>2923846513.1561699</v>
      </c>
    </row>
    <row r="34" spans="1:7" x14ac:dyDescent="0.25">
      <c r="A34">
        <v>2011</v>
      </c>
      <c r="B34" s="28">
        <v>2518798198.6000009</v>
      </c>
      <c r="C34" s="26">
        <v>882037056.59000003</v>
      </c>
      <c r="D34" s="26">
        <f t="shared" ref="D34:D44" si="7">B34+C34</f>
        <v>3400835255.190001</v>
      </c>
      <c r="E34" s="4">
        <f t="shared" si="6"/>
        <v>8.3313418636356898E-2</v>
      </c>
      <c r="F34" s="38">
        <v>45571474463.929985</v>
      </c>
      <c r="G34" s="25">
        <f t="shared" ref="G34:G44" si="8">F34*0.063</f>
        <v>2871002891.2275891</v>
      </c>
    </row>
    <row r="35" spans="1:7" x14ac:dyDescent="0.25">
      <c r="A35">
        <v>2012</v>
      </c>
      <c r="B35" s="24">
        <v>2931328635.4199996</v>
      </c>
      <c r="C35" s="26">
        <v>980755726.59000003</v>
      </c>
      <c r="D35" s="26">
        <f t="shared" si="7"/>
        <v>3912084362.0099998</v>
      </c>
      <c r="E35" s="4">
        <f t="shared" si="6"/>
        <v>8.5066452783643609E-2</v>
      </c>
      <c r="F35" s="38">
        <v>51573101664.380005</v>
      </c>
      <c r="G35" s="25">
        <f t="shared" si="8"/>
        <v>3249105404.8559403</v>
      </c>
    </row>
    <row r="36" spans="1:7" x14ac:dyDescent="0.25">
      <c r="A36">
        <v>2013</v>
      </c>
      <c r="B36" s="24">
        <v>2103820461.7199976</v>
      </c>
      <c r="C36" s="26">
        <v>1333977299.03</v>
      </c>
      <c r="D36" s="26">
        <f t="shared" si="7"/>
        <v>3437797760.7499976</v>
      </c>
      <c r="E36" s="4">
        <f t="shared" si="6"/>
        <v>6.8615323958623325E-2</v>
      </c>
      <c r="F36" s="38">
        <v>64062995738.250008</v>
      </c>
      <c r="G36" s="25">
        <f t="shared" si="8"/>
        <v>4035968731.5097504</v>
      </c>
    </row>
    <row r="37" spans="1:7" x14ac:dyDescent="0.25">
      <c r="A37">
        <v>2014</v>
      </c>
      <c r="B37" s="24">
        <v>2610291441.7500005</v>
      </c>
      <c r="C37" s="26">
        <v>1452065217.78</v>
      </c>
      <c r="D37" s="26">
        <f t="shared" si="7"/>
        <v>4062356659.5300007</v>
      </c>
      <c r="E37" s="4">
        <f t="shared" si="6"/>
        <v>7.2735036638383807E-2</v>
      </c>
      <c r="F37" s="38">
        <v>76092143610.230011</v>
      </c>
      <c r="G37" s="25">
        <f t="shared" si="8"/>
        <v>4793805047.4444904</v>
      </c>
    </row>
    <row r="38" spans="1:7" x14ac:dyDescent="0.25">
      <c r="A38">
        <v>2015</v>
      </c>
      <c r="B38" s="24">
        <v>2385576648.4399986</v>
      </c>
      <c r="C38" s="26">
        <v>658196236.55999994</v>
      </c>
      <c r="D38" s="26">
        <f t="shared" si="7"/>
        <v>3043772884.9999986</v>
      </c>
      <c r="E38" s="4">
        <f t="shared" si="6"/>
        <v>5.0632866871222156E-2</v>
      </c>
      <c r="F38" s="38">
        <v>53636537824.436783</v>
      </c>
      <c r="G38" s="25">
        <f t="shared" si="8"/>
        <v>3379101882.9395175</v>
      </c>
    </row>
    <row r="39" spans="1:7" x14ac:dyDescent="0.25">
      <c r="A39">
        <v>2016</v>
      </c>
      <c r="B39" s="24">
        <v>2121008741.8400006</v>
      </c>
      <c r="C39" s="26">
        <v>841166257</v>
      </c>
      <c r="D39" s="26">
        <f t="shared" si="7"/>
        <v>2962174998.8400006</v>
      </c>
      <c r="E39" s="4">
        <f t="shared" si="6"/>
        <v>4.7362270081625607E-2</v>
      </c>
      <c r="F39" s="38">
        <v>64318630412.904198</v>
      </c>
      <c r="G39" s="25">
        <f t="shared" si="8"/>
        <v>4052073716.0129642</v>
      </c>
    </row>
    <row r="40" spans="1:7" x14ac:dyDescent="0.25">
      <c r="A40">
        <v>2017</v>
      </c>
      <c r="B40" s="24">
        <v>1530413263.8499985</v>
      </c>
      <c r="C40" s="26">
        <v>1036105681.49</v>
      </c>
      <c r="D40" s="26">
        <f t="shared" si="7"/>
        <v>2566518945.3399982</v>
      </c>
      <c r="E40" s="4">
        <f t="shared" si="6"/>
        <v>3.8947157238240077E-2</v>
      </c>
      <c r="F40" s="38">
        <v>46119934716.038849</v>
      </c>
      <c r="G40" s="25">
        <f t="shared" si="8"/>
        <v>2905555887.1104474</v>
      </c>
    </row>
    <row r="41" spans="1:7" x14ac:dyDescent="0.25">
      <c r="A41">
        <v>2018</v>
      </c>
      <c r="B41" s="24">
        <v>1995519798.9299998</v>
      </c>
      <c r="C41" s="26">
        <v>1641970246.72</v>
      </c>
      <c r="D41" s="26">
        <f t="shared" si="7"/>
        <v>3637490045.6499996</v>
      </c>
      <c r="E41" s="4">
        <f t="shared" si="6"/>
        <v>4.9936426481633718E-2</v>
      </c>
      <c r="F41" s="38">
        <v>52497781371.907852</v>
      </c>
      <c r="G41" s="25">
        <f t="shared" si="8"/>
        <v>3307360226.4301949</v>
      </c>
    </row>
    <row r="42" spans="1:7" x14ac:dyDescent="0.25">
      <c r="A42">
        <v>2019</v>
      </c>
      <c r="B42" s="24">
        <v>2443086084.0499978</v>
      </c>
      <c r="C42" s="26">
        <v>837424374.09000003</v>
      </c>
      <c r="D42" s="26">
        <f t="shared" si="7"/>
        <v>3280510458.139998</v>
      </c>
      <c r="E42" s="4">
        <f t="shared" si="6"/>
        <v>4.3284165908218375E-2</v>
      </c>
      <c r="F42" s="38">
        <v>56593355894.303864</v>
      </c>
      <c r="G42" s="25">
        <f t="shared" si="8"/>
        <v>3565381421.3411436</v>
      </c>
    </row>
    <row r="43" spans="1:7" x14ac:dyDescent="0.25">
      <c r="A43">
        <v>2020</v>
      </c>
      <c r="B43" s="24">
        <v>3336305133.8700042</v>
      </c>
      <c r="C43" s="26">
        <v>864333886.03999996</v>
      </c>
      <c r="D43" s="26">
        <f t="shared" si="7"/>
        <v>4200639019.9100041</v>
      </c>
      <c r="E43" s="4">
        <f t="shared" si="6"/>
        <v>5.1943577034405518E-2</v>
      </c>
      <c r="F43" s="38">
        <v>104904497701.14217</v>
      </c>
      <c r="G43" s="25">
        <f t="shared" si="8"/>
        <v>6608983355.1719561</v>
      </c>
    </row>
    <row r="44" spans="1:7" x14ac:dyDescent="0.25">
      <c r="A44">
        <v>2021</v>
      </c>
      <c r="B44" s="24">
        <v>3467321358.3100014</v>
      </c>
      <c r="C44" s="26">
        <v>2300649335.46</v>
      </c>
      <c r="D44" s="26">
        <f t="shared" si="7"/>
        <v>5767970693.7700014</v>
      </c>
      <c r="E44" s="4">
        <f t="shared" si="6"/>
        <v>6.4722372159114375E-2</v>
      </c>
      <c r="F44" s="38">
        <v>56828235615.482132</v>
      </c>
      <c r="G44" s="25">
        <f t="shared" si="8"/>
        <v>3580178843.7753744</v>
      </c>
    </row>
    <row r="46" spans="1:7" x14ac:dyDescent="0.25">
      <c r="A46">
        <v>2010</v>
      </c>
      <c r="B46">
        <v>2011</v>
      </c>
      <c r="C46">
        <v>2012</v>
      </c>
    </row>
    <row r="47" spans="1:7" x14ac:dyDescent="0.25">
      <c r="A47" s="109" t="s">
        <v>291</v>
      </c>
      <c r="B47" s="109" t="s">
        <v>291</v>
      </c>
      <c r="C47" s="109" t="s">
        <v>291</v>
      </c>
    </row>
    <row r="48" spans="1:7" x14ac:dyDescent="0.25">
      <c r="A48" s="27">
        <v>2921074.67</v>
      </c>
      <c r="B48" s="27">
        <v>2579257.29</v>
      </c>
      <c r="C48" s="27">
        <v>1589613.85</v>
      </c>
    </row>
    <row r="49" spans="1:3" x14ac:dyDescent="0.25">
      <c r="A49" s="27">
        <v>2302149.39</v>
      </c>
      <c r="B49" s="27">
        <v>2501634.77</v>
      </c>
      <c r="C49" s="27">
        <v>2621584.5499999998</v>
      </c>
    </row>
    <row r="50" spans="1:3" x14ac:dyDescent="0.25">
      <c r="A50" s="27">
        <v>4094592.53</v>
      </c>
      <c r="B50" s="27">
        <v>3223796.16</v>
      </c>
      <c r="C50" s="27">
        <v>5770209.1399999997</v>
      </c>
    </row>
    <row r="51" spans="1:3" x14ac:dyDescent="0.25">
      <c r="A51" s="27">
        <v>1623325.69</v>
      </c>
      <c r="B51" s="27">
        <v>2023850.57</v>
      </c>
      <c r="C51" s="27">
        <v>1452358.57</v>
      </c>
    </row>
    <row r="52" spans="1:3" x14ac:dyDescent="0.25">
      <c r="A52" s="27">
        <v>1011014.72</v>
      </c>
      <c r="B52" s="27">
        <v>1527126.88</v>
      </c>
      <c r="C52" s="27">
        <v>880156.56</v>
      </c>
    </row>
    <row r="53" spans="1:3" x14ac:dyDescent="0.25">
      <c r="A53" s="27">
        <v>10036817.98</v>
      </c>
      <c r="B53" s="27">
        <v>4719132.88</v>
      </c>
      <c r="C53" s="27">
        <v>6813795.4100000001</v>
      </c>
    </row>
    <row r="54" spans="1:3" x14ac:dyDescent="0.25">
      <c r="A54" s="27">
        <v>1535730.08</v>
      </c>
      <c r="B54" s="27">
        <v>1924154.94</v>
      </c>
      <c r="C54" s="27">
        <v>1408396.54</v>
      </c>
    </row>
    <row r="55" spans="1:3" x14ac:dyDescent="0.25">
      <c r="A55" s="27">
        <v>2251436.62</v>
      </c>
      <c r="B55" s="27">
        <v>923907.21</v>
      </c>
      <c r="C55" s="27">
        <v>1004206.95</v>
      </c>
    </row>
    <row r="56" spans="1:3" x14ac:dyDescent="0.25">
      <c r="A56" s="27">
        <v>3936921.03</v>
      </c>
      <c r="B56" s="27">
        <v>3823774.94</v>
      </c>
      <c r="C56" s="27">
        <v>2513753.8199999998</v>
      </c>
    </row>
    <row r="57" spans="1:3" x14ac:dyDescent="0.25">
      <c r="A57" s="27">
        <v>2081414.67</v>
      </c>
      <c r="B57" s="27">
        <v>3010163.66</v>
      </c>
      <c r="C57" s="27">
        <v>2418941.0299999998</v>
      </c>
    </row>
    <row r="58" spans="1:3" x14ac:dyDescent="0.25">
      <c r="A58" s="27">
        <v>991005.41</v>
      </c>
      <c r="B58" s="27">
        <v>1914615.28</v>
      </c>
      <c r="C58" s="27">
        <v>1534580.27</v>
      </c>
    </row>
    <row r="59" spans="1:3" x14ac:dyDescent="0.25">
      <c r="A59" s="27">
        <v>12123892.279999999</v>
      </c>
      <c r="B59" s="27">
        <v>6741223.6500000004</v>
      </c>
      <c r="C59" s="27">
        <v>12203651.52</v>
      </c>
    </row>
    <row r="60" spans="1:3" x14ac:dyDescent="0.25">
      <c r="A60" s="27">
        <v>2365779.38</v>
      </c>
      <c r="B60" s="27">
        <v>524451.89</v>
      </c>
      <c r="C60" s="27">
        <v>1255587.58</v>
      </c>
    </row>
    <row r="61" spans="1:3" x14ac:dyDescent="0.25">
      <c r="A61" s="27">
        <v>1341651</v>
      </c>
      <c r="B61" s="27">
        <v>3314471</v>
      </c>
      <c r="C61" s="27">
        <v>1604794</v>
      </c>
    </row>
    <row r="62" spans="1:3" x14ac:dyDescent="0.25">
      <c r="A62" s="27">
        <v>681017.53</v>
      </c>
      <c r="B62" s="27">
        <v>921685.45</v>
      </c>
      <c r="C62" s="27">
        <v>1397733.32</v>
      </c>
    </row>
    <row r="63" spans="1:3" x14ac:dyDescent="0.25">
      <c r="A63" s="27">
        <v>4517889.0999999996</v>
      </c>
      <c r="B63" s="27">
        <v>1478147.74</v>
      </c>
      <c r="C63" s="27">
        <v>989027.5</v>
      </c>
    </row>
    <row r="64" spans="1:3" x14ac:dyDescent="0.25">
      <c r="A64" s="27">
        <v>1252419.26</v>
      </c>
      <c r="B64" s="27">
        <v>1635144.82</v>
      </c>
      <c r="C64" s="27">
        <v>4295163.83</v>
      </c>
    </row>
    <row r="65" spans="1:3" x14ac:dyDescent="0.25">
      <c r="A65" s="27">
        <v>38929290.369999997</v>
      </c>
      <c r="B65" s="27">
        <v>2467289.41</v>
      </c>
      <c r="C65" s="27">
        <v>27748334.59</v>
      </c>
    </row>
    <row r="66" spans="1:3" x14ac:dyDescent="0.25">
      <c r="A66" s="27">
        <v>4097293.18</v>
      </c>
      <c r="B66" s="27">
        <v>2277955.58</v>
      </c>
      <c r="C66" s="27">
        <v>3074969.98</v>
      </c>
    </row>
    <row r="67" spans="1:3" x14ac:dyDescent="0.25">
      <c r="A67" s="27">
        <v>7261772.4100000001</v>
      </c>
      <c r="B67" s="27">
        <v>20847565.050000001</v>
      </c>
      <c r="C67" s="27">
        <v>11261023.029999999</v>
      </c>
    </row>
    <row r="68" spans="1:3" x14ac:dyDescent="0.25">
      <c r="A68" s="27">
        <v>3230368.64</v>
      </c>
      <c r="B68" s="27">
        <v>3930321.2</v>
      </c>
      <c r="C68" s="27">
        <v>9040192.4299999997</v>
      </c>
    </row>
    <row r="69" spans="1:3" x14ac:dyDescent="0.25">
      <c r="A69" s="27">
        <v>1430023.4</v>
      </c>
      <c r="B69" s="27">
        <v>3469158.48</v>
      </c>
      <c r="C69" s="27">
        <v>1776908.37</v>
      </c>
    </row>
    <row r="70" spans="1:3" x14ac:dyDescent="0.25">
      <c r="A70" s="27">
        <v>3567358.08</v>
      </c>
      <c r="B70" s="27">
        <v>1890956.08</v>
      </c>
      <c r="C70" s="27">
        <v>1645866.87</v>
      </c>
    </row>
    <row r="71" spans="1:3" x14ac:dyDescent="0.25">
      <c r="A71" s="27">
        <v>3961840.49</v>
      </c>
      <c r="B71" s="27">
        <v>2508652.65</v>
      </c>
      <c r="C71" s="27">
        <v>3485160.64</v>
      </c>
    </row>
    <row r="72" spans="1:3" x14ac:dyDescent="0.25">
      <c r="A72" s="27">
        <v>2455174.65</v>
      </c>
      <c r="B72" s="27">
        <v>1560239.45</v>
      </c>
      <c r="C72" s="27">
        <v>1647419.43</v>
      </c>
    </row>
    <row r="73" spans="1:3" x14ac:dyDescent="0.25">
      <c r="A73" s="27">
        <v>1406032.85</v>
      </c>
      <c r="B73" s="27">
        <v>2738329.99</v>
      </c>
      <c r="C73" s="27">
        <v>3346881.42</v>
      </c>
    </row>
    <row r="74" spans="1:3" x14ac:dyDescent="0.25">
      <c r="A74" s="27">
        <v>3192654.24</v>
      </c>
      <c r="B74" s="27">
        <v>3951778.54</v>
      </c>
      <c r="C74" s="27">
        <v>1380694.24</v>
      </c>
    </row>
    <row r="75" spans="1:3" x14ac:dyDescent="0.25">
      <c r="A75" s="27">
        <v>3659749.19</v>
      </c>
      <c r="B75" s="27">
        <v>2590585.73</v>
      </c>
      <c r="C75" s="27">
        <v>3407178.28</v>
      </c>
    </row>
    <row r="76" spans="1:3" x14ac:dyDescent="0.25">
      <c r="A76" s="27">
        <v>395362.59</v>
      </c>
      <c r="B76" s="27">
        <v>2080998.51</v>
      </c>
      <c r="C76" s="27">
        <v>774874.6</v>
      </c>
    </row>
    <row r="77" spans="1:3" x14ac:dyDescent="0.25">
      <c r="A77" s="27">
        <v>9707992.6199999992</v>
      </c>
      <c r="B77" s="27">
        <v>22491590.780000001</v>
      </c>
      <c r="C77" s="27">
        <v>34630590.090000004</v>
      </c>
    </row>
    <row r="78" spans="1:3" x14ac:dyDescent="0.25">
      <c r="A78" s="27">
        <v>4193111.93</v>
      </c>
      <c r="B78" s="27">
        <v>3171022.26</v>
      </c>
      <c r="C78" s="27">
        <v>3290705.84</v>
      </c>
    </row>
    <row r="79" spans="1:3" x14ac:dyDescent="0.25">
      <c r="A79" s="27">
        <v>2026303</v>
      </c>
      <c r="B79" s="27">
        <v>1991806</v>
      </c>
      <c r="C79" s="27">
        <v>2099584.29</v>
      </c>
    </row>
    <row r="80" spans="1:3" x14ac:dyDescent="0.25">
      <c r="A80" s="27">
        <v>2199978</v>
      </c>
      <c r="B80" s="27">
        <v>2494469</v>
      </c>
      <c r="C80" s="27">
        <v>4126725</v>
      </c>
    </row>
    <row r="81" spans="1:3" x14ac:dyDescent="0.25">
      <c r="A81" s="27">
        <v>707736.43</v>
      </c>
      <c r="B81" s="27">
        <v>1931850.43</v>
      </c>
      <c r="C81" s="27">
        <v>1106838.3700000001</v>
      </c>
    </row>
    <row r="82" spans="1:3" x14ac:dyDescent="0.25">
      <c r="A82" s="27">
        <v>2824744.59</v>
      </c>
      <c r="B82" s="27">
        <v>2373258.08</v>
      </c>
      <c r="C82" s="27">
        <v>2851888.09</v>
      </c>
    </row>
    <row r="83" spans="1:3" x14ac:dyDescent="0.25">
      <c r="A83" s="27">
        <v>1995547.28</v>
      </c>
      <c r="B83" s="27">
        <v>1301460.69</v>
      </c>
      <c r="C83" s="27">
        <v>1606227.2</v>
      </c>
    </row>
    <row r="84" spans="1:3" x14ac:dyDescent="0.25">
      <c r="A84" s="27">
        <v>720169.54</v>
      </c>
      <c r="B84" s="27">
        <v>257071.15</v>
      </c>
      <c r="C84" s="27">
        <v>1218541.3799999999</v>
      </c>
    </row>
    <row r="85" spans="1:3" x14ac:dyDescent="0.25">
      <c r="A85" s="27">
        <v>842681.11</v>
      </c>
      <c r="B85" s="27">
        <v>2426819.7999999998</v>
      </c>
      <c r="C85" s="27">
        <v>1584644.34</v>
      </c>
    </row>
    <row r="86" spans="1:3" x14ac:dyDescent="0.25">
      <c r="A86" s="27">
        <v>2185834.0099999998</v>
      </c>
      <c r="B86" s="27">
        <v>747714.67</v>
      </c>
      <c r="C86" s="27">
        <v>913770.9</v>
      </c>
    </row>
    <row r="87" spans="1:3" x14ac:dyDescent="0.25">
      <c r="A87" s="27">
        <v>3105049.59</v>
      </c>
      <c r="B87" s="27">
        <v>2609577.65</v>
      </c>
      <c r="C87" s="27">
        <v>1644696.19</v>
      </c>
    </row>
    <row r="88" spans="1:3" x14ac:dyDescent="0.25">
      <c r="A88" s="27">
        <v>2198488.1800000002</v>
      </c>
      <c r="B88" s="27">
        <v>2032567.12</v>
      </c>
      <c r="C88" s="27">
        <v>1846547.71</v>
      </c>
    </row>
    <row r="89" spans="1:3" x14ac:dyDescent="0.25">
      <c r="A89" s="27">
        <v>1624026.1</v>
      </c>
      <c r="B89" s="27">
        <v>2131100.02</v>
      </c>
      <c r="C89" s="27">
        <v>2438216.33</v>
      </c>
    </row>
    <row r="90" spans="1:3" x14ac:dyDescent="0.25">
      <c r="A90" s="27">
        <v>14702923.48</v>
      </c>
      <c r="B90" s="27">
        <v>33252789.98</v>
      </c>
      <c r="C90" s="27">
        <v>19440482.280000001</v>
      </c>
    </row>
    <row r="91" spans="1:3" x14ac:dyDescent="0.25">
      <c r="A91" s="27">
        <v>1662628.13</v>
      </c>
      <c r="B91" s="27">
        <v>1249295.8899999999</v>
      </c>
      <c r="C91" s="27">
        <v>1465517.99</v>
      </c>
    </row>
    <row r="92" spans="1:3" x14ac:dyDescent="0.25">
      <c r="A92" s="27">
        <v>1233698.31</v>
      </c>
      <c r="B92" s="27">
        <v>2517884.12</v>
      </c>
      <c r="C92" s="27">
        <v>1723140.61</v>
      </c>
    </row>
    <row r="93" spans="1:3" x14ac:dyDescent="0.25">
      <c r="A93" s="27">
        <v>2286875.71</v>
      </c>
      <c r="B93" s="27">
        <v>2973711.85</v>
      </c>
      <c r="C93" s="27">
        <v>3079602.51</v>
      </c>
    </row>
    <row r="94" spans="1:3" x14ac:dyDescent="0.25">
      <c r="A94" s="27">
        <v>639852.49</v>
      </c>
      <c r="B94" s="27">
        <v>1560084.76</v>
      </c>
      <c r="C94" s="27">
        <v>1062917.29</v>
      </c>
    </row>
    <row r="95" spans="1:3" x14ac:dyDescent="0.25">
      <c r="A95" s="27">
        <v>1394431.7</v>
      </c>
      <c r="B95" s="27">
        <v>3304122.14</v>
      </c>
      <c r="C95" s="27">
        <v>2773386.25</v>
      </c>
    </row>
    <row r="96" spans="1:3" x14ac:dyDescent="0.25">
      <c r="A96" s="27">
        <v>655534.66</v>
      </c>
      <c r="B96" s="27">
        <v>1103096.06</v>
      </c>
      <c r="C96" s="27">
        <v>2305748.19</v>
      </c>
    </row>
    <row r="97" spans="1:3" x14ac:dyDescent="0.25">
      <c r="A97" s="27">
        <v>6169388.7199999997</v>
      </c>
      <c r="B97" s="27">
        <v>6647386.46</v>
      </c>
      <c r="C97" s="27">
        <v>8235405.9400000004</v>
      </c>
    </row>
    <row r="98" spans="1:3" x14ac:dyDescent="0.25">
      <c r="A98" s="27">
        <v>196777.12</v>
      </c>
      <c r="B98" s="27">
        <v>614783.65</v>
      </c>
      <c r="C98" s="27">
        <v>1023536.02</v>
      </c>
    </row>
    <row r="99" spans="1:3" x14ac:dyDescent="0.25">
      <c r="A99" s="27">
        <v>2132287.87</v>
      </c>
      <c r="B99" s="27">
        <v>0</v>
      </c>
      <c r="C99" s="27">
        <v>4378562.97</v>
      </c>
    </row>
    <row r="100" spans="1:3" x14ac:dyDescent="0.25">
      <c r="A100" s="27">
        <v>1948484.51</v>
      </c>
      <c r="B100" s="27">
        <v>9038975.6999999993</v>
      </c>
      <c r="C100" s="27">
        <v>917859.2</v>
      </c>
    </row>
    <row r="101" spans="1:3" x14ac:dyDescent="0.25">
      <c r="A101" s="27">
        <v>1374592.6</v>
      </c>
      <c r="B101" s="27">
        <v>1700572.01</v>
      </c>
      <c r="C101" s="27">
        <v>1672553.94</v>
      </c>
    </row>
    <row r="102" spans="1:3" x14ac:dyDescent="0.25">
      <c r="A102" s="27">
        <v>1466059.08</v>
      </c>
      <c r="B102" s="27">
        <v>1774454.59</v>
      </c>
      <c r="C102" s="27">
        <v>2562304.34</v>
      </c>
    </row>
    <row r="103" spans="1:3" x14ac:dyDescent="0.25">
      <c r="A103" s="27">
        <v>1667146.95</v>
      </c>
      <c r="B103" s="27">
        <v>2813806.5</v>
      </c>
      <c r="C103" s="27">
        <v>2174407.89</v>
      </c>
    </row>
    <row r="104" spans="1:3" x14ac:dyDescent="0.25">
      <c r="A104" s="27">
        <v>2006340.45</v>
      </c>
      <c r="B104" s="27">
        <v>2096103.33</v>
      </c>
      <c r="C104" s="27">
        <v>1960101.44</v>
      </c>
    </row>
    <row r="105" spans="1:3" x14ac:dyDescent="0.25">
      <c r="A105" s="27">
        <v>2586509.19</v>
      </c>
      <c r="B105" s="27">
        <v>1223052.26</v>
      </c>
      <c r="C105" s="27">
        <v>4429708.41</v>
      </c>
    </row>
    <row r="106" spans="1:3" x14ac:dyDescent="0.25">
      <c r="A106" s="27">
        <v>3624719.77</v>
      </c>
      <c r="B106" s="27">
        <v>1902141.7</v>
      </c>
      <c r="C106" s="27">
        <v>1324593.68</v>
      </c>
    </row>
    <row r="107" spans="1:3" x14ac:dyDescent="0.25">
      <c r="A107" s="27">
        <v>4546942.17</v>
      </c>
      <c r="B107" s="27">
        <v>3474883.73</v>
      </c>
      <c r="C107" s="27">
        <v>3086471.63</v>
      </c>
    </row>
    <row r="108" spans="1:3" x14ac:dyDescent="0.25">
      <c r="A108" s="27">
        <v>6854913.0800000001</v>
      </c>
      <c r="B108" s="27">
        <v>5233550.08</v>
      </c>
      <c r="C108" s="27">
        <v>9574920.7699999996</v>
      </c>
    </row>
    <row r="109" spans="1:3" x14ac:dyDescent="0.25">
      <c r="A109" s="27">
        <v>18689786.719999999</v>
      </c>
      <c r="B109" s="27">
        <v>36389123.149999999</v>
      </c>
      <c r="C109" s="27">
        <v>27126664.350000001</v>
      </c>
    </row>
    <row r="110" spans="1:3" x14ac:dyDescent="0.25">
      <c r="A110" s="27">
        <v>1889881.15</v>
      </c>
      <c r="B110" s="27">
        <v>1932027.62</v>
      </c>
      <c r="C110" s="27">
        <v>1754911.75</v>
      </c>
    </row>
    <row r="111" spans="1:3" x14ac:dyDescent="0.25">
      <c r="A111" s="27">
        <v>1387250.07</v>
      </c>
      <c r="B111" s="27">
        <v>1500163.27</v>
      </c>
      <c r="C111" s="27">
        <v>1517314.94</v>
      </c>
    </row>
    <row r="112" spans="1:3" x14ac:dyDescent="0.25">
      <c r="A112" s="27">
        <v>2345218.6</v>
      </c>
      <c r="B112" s="27">
        <v>2791730.46</v>
      </c>
      <c r="C112" s="27">
        <v>2427254.4300000002</v>
      </c>
    </row>
    <row r="113" spans="1:3" x14ac:dyDescent="0.25">
      <c r="A113" s="27">
        <v>6540284.9000000004</v>
      </c>
      <c r="B113" s="27">
        <v>9553281.9399999995</v>
      </c>
      <c r="C113" s="27">
        <v>5050048.8099999996</v>
      </c>
    </row>
    <row r="114" spans="1:3" x14ac:dyDescent="0.25">
      <c r="A114" s="27">
        <v>2068396.75</v>
      </c>
      <c r="B114" s="27">
        <v>2846252.37</v>
      </c>
      <c r="C114" s="27">
        <v>3115994.7</v>
      </c>
    </row>
    <row r="115" spans="1:3" x14ac:dyDescent="0.25">
      <c r="A115" s="27">
        <v>1929465.83</v>
      </c>
      <c r="B115" s="27">
        <v>1692072.2</v>
      </c>
      <c r="C115" s="27">
        <v>2442883.71</v>
      </c>
    </row>
    <row r="116" spans="1:3" x14ac:dyDescent="0.25">
      <c r="A116" s="27">
        <v>1931129.31</v>
      </c>
      <c r="B116" s="27">
        <v>2602000.44</v>
      </c>
      <c r="C116" s="27">
        <v>1801755.39</v>
      </c>
    </row>
    <row r="117" spans="1:3" x14ac:dyDescent="0.25">
      <c r="A117" s="27">
        <v>1401437.16</v>
      </c>
      <c r="B117" s="27">
        <v>753117.86</v>
      </c>
      <c r="C117" s="27">
        <v>1594871.17</v>
      </c>
    </row>
    <row r="118" spans="1:3" x14ac:dyDescent="0.25">
      <c r="A118" s="27">
        <v>22676685.43</v>
      </c>
      <c r="B118" s="27">
        <v>2283104.77</v>
      </c>
      <c r="C118" s="27">
        <v>2381344.71</v>
      </c>
    </row>
    <row r="119" spans="1:3" x14ac:dyDescent="0.25">
      <c r="A119" s="27">
        <v>2194501.71</v>
      </c>
      <c r="B119" s="27">
        <v>22559051.02</v>
      </c>
      <c r="C119" s="27">
        <v>23148574.670000002</v>
      </c>
    </row>
    <row r="120" spans="1:3" x14ac:dyDescent="0.25">
      <c r="A120" s="27">
        <v>3017324.83</v>
      </c>
      <c r="B120" s="27">
        <v>588612.87</v>
      </c>
      <c r="C120" s="27">
        <v>1333656.1200000001</v>
      </c>
    </row>
    <row r="121" spans="1:3" x14ac:dyDescent="0.25">
      <c r="A121" s="27">
        <v>3063292.27</v>
      </c>
      <c r="B121" s="27">
        <v>1605223.89</v>
      </c>
      <c r="C121" s="27">
        <v>1368688.47</v>
      </c>
    </row>
    <row r="122" spans="1:3" x14ac:dyDescent="0.25">
      <c r="A122" s="27">
        <v>866119.68000000005</v>
      </c>
      <c r="B122" s="27">
        <v>3610020.38</v>
      </c>
      <c r="C122" s="27">
        <v>9267305.7400000002</v>
      </c>
    </row>
    <row r="123" spans="1:3" x14ac:dyDescent="0.25">
      <c r="A123" s="27">
        <v>3781035.54</v>
      </c>
      <c r="B123" s="27">
        <v>726452.63</v>
      </c>
      <c r="C123" s="27">
        <v>1856524.35</v>
      </c>
    </row>
    <row r="124" spans="1:3" x14ac:dyDescent="0.25">
      <c r="A124" s="27">
        <v>13904620.039999999</v>
      </c>
      <c r="B124" s="27">
        <v>9472673.3800000008</v>
      </c>
      <c r="C124" s="27">
        <v>3587854.66</v>
      </c>
    </row>
    <row r="125" spans="1:3" x14ac:dyDescent="0.25">
      <c r="A125" s="27">
        <v>4188833.47</v>
      </c>
      <c r="B125" s="27">
        <v>16399934.119999999</v>
      </c>
      <c r="C125" s="27">
        <v>21612684.98</v>
      </c>
    </row>
    <row r="126" spans="1:3" x14ac:dyDescent="0.25">
      <c r="A126" s="27">
        <v>38713068.829999998</v>
      </c>
      <c r="B126" s="27">
        <v>7690061.3700000001</v>
      </c>
      <c r="C126" s="27">
        <v>5941213.8399999999</v>
      </c>
    </row>
    <row r="127" spans="1:3" x14ac:dyDescent="0.25">
      <c r="A127" s="27">
        <v>1366804.83</v>
      </c>
      <c r="B127" s="27">
        <v>32564861.579999998</v>
      </c>
      <c r="C127" s="27">
        <v>68234065.420000002</v>
      </c>
    </row>
    <row r="128" spans="1:3" x14ac:dyDescent="0.25">
      <c r="A128" s="27">
        <v>1151988.3700000001</v>
      </c>
      <c r="B128" s="27">
        <v>1966682.68</v>
      </c>
      <c r="C128" s="27">
        <v>971340.03</v>
      </c>
    </row>
    <row r="129" spans="1:3" x14ac:dyDescent="0.25">
      <c r="A129" s="27">
        <v>10209752.35</v>
      </c>
      <c r="B129" s="27">
        <v>1410251.93</v>
      </c>
      <c r="C129" s="27">
        <v>1630027.75</v>
      </c>
    </row>
    <row r="130" spans="1:3" x14ac:dyDescent="0.25">
      <c r="A130" s="27">
        <v>2905627.75</v>
      </c>
      <c r="B130" s="27">
        <v>8131159.7999999998</v>
      </c>
      <c r="C130" s="27">
        <v>7379925.7699999996</v>
      </c>
    </row>
    <row r="131" spans="1:3" x14ac:dyDescent="0.25">
      <c r="A131" s="27">
        <v>3031188.93</v>
      </c>
      <c r="B131" s="27">
        <v>1959067.35</v>
      </c>
      <c r="C131" s="27">
        <v>3035434.8</v>
      </c>
    </row>
    <row r="132" spans="1:3" x14ac:dyDescent="0.25">
      <c r="A132" s="27">
        <v>809831.7</v>
      </c>
      <c r="B132" s="27">
        <v>1548898.43</v>
      </c>
      <c r="C132" s="27">
        <v>1163758.6399999999</v>
      </c>
    </row>
    <row r="133" spans="1:3" x14ac:dyDescent="0.25">
      <c r="A133" s="27">
        <v>2872998.66</v>
      </c>
      <c r="B133" s="27">
        <v>1034394.97</v>
      </c>
      <c r="C133" s="27">
        <v>3411523.11</v>
      </c>
    </row>
    <row r="134" spans="1:3" x14ac:dyDescent="0.25">
      <c r="A134" s="27">
        <v>2442950.7000000002</v>
      </c>
      <c r="B134" s="27">
        <v>1072327.04</v>
      </c>
      <c r="C134" s="27">
        <v>2352426.84</v>
      </c>
    </row>
    <row r="135" spans="1:3" x14ac:dyDescent="0.25">
      <c r="A135" s="27">
        <v>2495097.41</v>
      </c>
      <c r="B135" s="27">
        <v>3231632.66</v>
      </c>
      <c r="C135" s="27">
        <v>2517369.62</v>
      </c>
    </row>
    <row r="136" spans="1:3" x14ac:dyDescent="0.25">
      <c r="A136" s="27">
        <v>2462326.61</v>
      </c>
      <c r="B136" s="27">
        <v>2241635.7000000002</v>
      </c>
      <c r="C136" s="27">
        <v>1866666.56</v>
      </c>
    </row>
    <row r="137" spans="1:3" x14ac:dyDescent="0.25">
      <c r="A137" s="27">
        <v>7113871.5899999999</v>
      </c>
      <c r="B137" s="27">
        <v>8262025.5800000001</v>
      </c>
      <c r="C137" s="27">
        <v>9762823.4399999995</v>
      </c>
    </row>
    <row r="138" spans="1:3" x14ac:dyDescent="0.25">
      <c r="A138" s="27">
        <v>1907317.76</v>
      </c>
      <c r="B138" s="27">
        <v>8166647</v>
      </c>
      <c r="C138" s="27">
        <v>12184017.289999999</v>
      </c>
    </row>
    <row r="139" spans="1:3" x14ac:dyDescent="0.25">
      <c r="A139" s="27">
        <v>3274018.43</v>
      </c>
      <c r="B139" s="27">
        <v>1194428.49</v>
      </c>
      <c r="C139" s="27">
        <v>893982.36</v>
      </c>
    </row>
    <row r="140" spans="1:3" x14ac:dyDescent="0.25">
      <c r="A140" s="27">
        <v>1871734.1</v>
      </c>
      <c r="B140" s="27">
        <v>3614332.53</v>
      </c>
      <c r="C140" s="27">
        <v>2979182.81</v>
      </c>
    </row>
    <row r="141" spans="1:3" x14ac:dyDescent="0.25">
      <c r="A141" s="27">
        <v>1332661.8899999999</v>
      </c>
      <c r="B141" s="27">
        <v>3794724.2</v>
      </c>
      <c r="C141" s="27">
        <v>1348811.02</v>
      </c>
    </row>
    <row r="142" spans="1:3" x14ac:dyDescent="0.25">
      <c r="A142" s="27">
        <v>135212033.99000001</v>
      </c>
      <c r="B142" s="27">
        <v>2285539.27</v>
      </c>
      <c r="C142" s="27">
        <v>2620230.79</v>
      </c>
    </row>
    <row r="143" spans="1:3" x14ac:dyDescent="0.25">
      <c r="A143" s="27">
        <v>1063504.72</v>
      </c>
      <c r="B143" s="27">
        <v>249352482.71000001</v>
      </c>
      <c r="C143" s="27">
        <v>206331336.22999999</v>
      </c>
    </row>
    <row r="144" spans="1:3" x14ac:dyDescent="0.25">
      <c r="A144" s="27">
        <v>2775451.78</v>
      </c>
      <c r="B144" s="27">
        <v>1044220.21</v>
      </c>
      <c r="C144" s="27">
        <v>1559948.27</v>
      </c>
    </row>
    <row r="145" spans="1:3" x14ac:dyDescent="0.25">
      <c r="A145" s="27">
        <v>2125150.6</v>
      </c>
      <c r="B145" s="27">
        <v>953979.22</v>
      </c>
      <c r="C145" s="27">
        <v>1689997.93</v>
      </c>
    </row>
    <row r="146" spans="1:3" x14ac:dyDescent="0.25">
      <c r="A146" s="27">
        <v>1381250</v>
      </c>
      <c r="B146" s="27">
        <v>1182383.54</v>
      </c>
      <c r="C146" s="27">
        <v>1730006.31</v>
      </c>
    </row>
    <row r="147" spans="1:3" x14ac:dyDescent="0.25">
      <c r="A147" s="27">
        <v>3678461</v>
      </c>
      <c r="B147" s="27">
        <v>1284340</v>
      </c>
      <c r="C147" s="27">
        <v>1658734</v>
      </c>
    </row>
    <row r="148" spans="1:3" x14ac:dyDescent="0.25">
      <c r="A148" s="27">
        <v>3163595.94</v>
      </c>
      <c r="B148" s="27">
        <v>1592855.31</v>
      </c>
      <c r="C148" s="27">
        <v>1888772.31</v>
      </c>
    </row>
    <row r="149" spans="1:3" x14ac:dyDescent="0.25">
      <c r="A149" s="27">
        <v>2872317.53</v>
      </c>
      <c r="B149" s="27">
        <v>3108911.81</v>
      </c>
      <c r="C149" s="27">
        <v>4069877.99</v>
      </c>
    </row>
    <row r="150" spans="1:3" x14ac:dyDescent="0.25">
      <c r="A150" s="27">
        <v>6717599.7400000002</v>
      </c>
      <c r="B150" s="27">
        <v>3164809.21</v>
      </c>
      <c r="C150" s="27">
        <v>4013849.91</v>
      </c>
    </row>
    <row r="151" spans="1:3" x14ac:dyDescent="0.25">
      <c r="A151" s="27">
        <v>2752702.21</v>
      </c>
      <c r="B151" s="27">
        <v>11233803.91</v>
      </c>
      <c r="C151" s="27">
        <v>12631285.17</v>
      </c>
    </row>
    <row r="152" spans="1:3" x14ac:dyDescent="0.25">
      <c r="A152" s="27">
        <v>1721441.43</v>
      </c>
      <c r="B152" s="27">
        <v>3032138.21</v>
      </c>
      <c r="C152" s="27">
        <v>1844830.02</v>
      </c>
    </row>
    <row r="153" spans="1:3" x14ac:dyDescent="0.25">
      <c r="A153" s="27">
        <v>699644.3</v>
      </c>
      <c r="B153" s="27">
        <v>1680487.66</v>
      </c>
      <c r="C153" s="27">
        <v>1916840.77</v>
      </c>
    </row>
    <row r="154" spans="1:3" x14ac:dyDescent="0.25">
      <c r="A154" s="27">
        <v>2298362.36</v>
      </c>
      <c r="B154" s="27">
        <v>1050293.8500000001</v>
      </c>
      <c r="C154" s="27">
        <v>1171765.26</v>
      </c>
    </row>
    <row r="155" spans="1:3" x14ac:dyDescent="0.25">
      <c r="A155" s="27">
        <v>4183015.81</v>
      </c>
      <c r="B155" s="27">
        <v>3420553.25</v>
      </c>
      <c r="C155" s="27">
        <v>5205136.83</v>
      </c>
    </row>
    <row r="156" spans="1:3" x14ac:dyDescent="0.25">
      <c r="A156" s="27">
        <v>2266543.56</v>
      </c>
      <c r="B156" s="27">
        <v>1052893.19</v>
      </c>
      <c r="C156" s="27">
        <v>1237507.24</v>
      </c>
    </row>
    <row r="157" spans="1:3" x14ac:dyDescent="0.25">
      <c r="A157" s="27">
        <v>5262357.1900000004</v>
      </c>
      <c r="B157" s="27">
        <v>3104598.28</v>
      </c>
      <c r="C157" s="27">
        <v>5323361.91</v>
      </c>
    </row>
    <row r="158" spans="1:3" x14ac:dyDescent="0.25">
      <c r="A158" s="27">
        <v>2331600.66</v>
      </c>
      <c r="B158" s="27">
        <v>3464347.47</v>
      </c>
      <c r="C158" s="27">
        <v>1888679.64</v>
      </c>
    </row>
    <row r="159" spans="1:3" x14ac:dyDescent="0.25">
      <c r="A159" s="27">
        <v>1695399.1</v>
      </c>
      <c r="B159" s="27">
        <v>2441956.77</v>
      </c>
      <c r="C159" s="27">
        <v>2575363.1800000002</v>
      </c>
    </row>
    <row r="160" spans="1:3" x14ac:dyDescent="0.25">
      <c r="A160" s="27">
        <v>4047861.59</v>
      </c>
      <c r="B160" s="27">
        <v>2996183.28</v>
      </c>
      <c r="C160" s="27">
        <v>5442027.2800000003</v>
      </c>
    </row>
    <row r="161" spans="1:3" x14ac:dyDescent="0.25">
      <c r="A161" s="27">
        <v>1469001.61</v>
      </c>
      <c r="B161" s="27">
        <v>1914443.95</v>
      </c>
      <c r="C161" s="27">
        <v>1528742.15</v>
      </c>
    </row>
    <row r="162" spans="1:3" x14ac:dyDescent="0.25">
      <c r="A162" s="27">
        <v>1579454.7</v>
      </c>
      <c r="B162" s="27">
        <v>2724096.28</v>
      </c>
      <c r="C162" s="27">
        <v>3038197.98</v>
      </c>
    </row>
    <row r="163" spans="1:3" x14ac:dyDescent="0.25">
      <c r="A163" s="27">
        <v>1214279.57</v>
      </c>
      <c r="B163" s="27">
        <v>814207.77</v>
      </c>
      <c r="C163" s="27">
        <v>2869991.86</v>
      </c>
    </row>
    <row r="164" spans="1:3" x14ac:dyDescent="0.25">
      <c r="A164" s="27">
        <v>1083513.52</v>
      </c>
      <c r="B164" s="27">
        <v>877626.51</v>
      </c>
      <c r="C164" s="27">
        <v>1869799.59</v>
      </c>
    </row>
    <row r="165" spans="1:3" x14ac:dyDescent="0.25">
      <c r="A165" s="27">
        <v>1209765.76</v>
      </c>
      <c r="B165" s="27">
        <v>2632355.33</v>
      </c>
      <c r="C165" s="27">
        <v>1293517.68</v>
      </c>
    </row>
    <row r="166" spans="1:3" x14ac:dyDescent="0.25">
      <c r="A166" s="27">
        <v>1492018</v>
      </c>
      <c r="B166" s="27">
        <v>1880970</v>
      </c>
      <c r="C166" s="27">
        <v>2816054</v>
      </c>
    </row>
    <row r="167" spans="1:3" x14ac:dyDescent="0.25">
      <c r="A167" s="27">
        <v>711871.53</v>
      </c>
      <c r="B167" s="27">
        <v>795567.85</v>
      </c>
      <c r="C167" s="27">
        <v>1726230.3</v>
      </c>
    </row>
    <row r="168" spans="1:3" x14ac:dyDescent="0.25">
      <c r="A168" s="27">
        <v>2488996.39</v>
      </c>
      <c r="B168" s="27">
        <v>2429401.4500000002</v>
      </c>
      <c r="C168" s="27">
        <v>2316148.54</v>
      </c>
    </row>
    <row r="169" spans="1:3" x14ac:dyDescent="0.25">
      <c r="A169" s="27">
        <v>1221358.92</v>
      </c>
      <c r="B169" s="27">
        <v>1659825.66</v>
      </c>
      <c r="C169" s="27">
        <v>1260309.69</v>
      </c>
    </row>
    <row r="170" spans="1:3" x14ac:dyDescent="0.25">
      <c r="A170" s="27">
        <v>1123243.8</v>
      </c>
      <c r="B170" s="27">
        <v>1995155.08</v>
      </c>
      <c r="C170" s="27">
        <v>1929332.78</v>
      </c>
    </row>
    <row r="171" spans="1:3" x14ac:dyDescent="0.25">
      <c r="A171" s="27">
        <v>4498063.34</v>
      </c>
      <c r="B171" s="27">
        <v>6888619.2599999998</v>
      </c>
      <c r="C171" s="27">
        <v>0</v>
      </c>
    </row>
    <row r="172" spans="1:3" x14ac:dyDescent="0.25">
      <c r="A172" s="27">
        <v>705706.07</v>
      </c>
      <c r="B172" s="27">
        <v>1443455.13</v>
      </c>
      <c r="C172" s="27">
        <v>1107332.23</v>
      </c>
    </row>
    <row r="173" spans="1:3" x14ac:dyDescent="0.25">
      <c r="A173" s="27">
        <v>4680780.3</v>
      </c>
      <c r="B173" s="27">
        <v>3352803.17</v>
      </c>
      <c r="C173" s="27">
        <v>2792929.95</v>
      </c>
    </row>
    <row r="174" spans="1:3" x14ac:dyDescent="0.25">
      <c r="A174" s="27">
        <v>1719163.64</v>
      </c>
      <c r="B174" s="27">
        <v>2612427.2799999998</v>
      </c>
      <c r="C174" s="27">
        <v>1784949.25</v>
      </c>
    </row>
    <row r="175" spans="1:3" x14ac:dyDescent="0.25">
      <c r="A175" s="27">
        <v>1841674.85</v>
      </c>
      <c r="B175" s="27">
        <v>3025881.69</v>
      </c>
      <c r="C175" s="27">
        <v>3093037.89</v>
      </c>
    </row>
    <row r="176" spans="1:3" x14ac:dyDescent="0.25">
      <c r="A176" s="27">
        <v>443513</v>
      </c>
      <c r="B176" s="27">
        <v>270957</v>
      </c>
      <c r="C176" s="27">
        <v>1072496</v>
      </c>
    </row>
    <row r="177" spans="1:3" x14ac:dyDescent="0.25">
      <c r="A177" s="27">
        <v>1351211.2</v>
      </c>
      <c r="B177" s="27">
        <v>1701653.72</v>
      </c>
      <c r="C177" s="27">
        <v>2439305.9</v>
      </c>
    </row>
    <row r="178" spans="1:3" x14ac:dyDescent="0.25">
      <c r="A178" s="27">
        <v>11507288.24</v>
      </c>
      <c r="B178" s="27">
        <v>5669114.0700000003</v>
      </c>
      <c r="C178" s="27">
        <v>9217839.3699999992</v>
      </c>
    </row>
    <row r="179" spans="1:3" x14ac:dyDescent="0.25">
      <c r="A179" s="27">
        <v>2604280.86</v>
      </c>
      <c r="B179" s="27">
        <v>1304186.2</v>
      </c>
      <c r="C179" s="27">
        <v>1686238.96</v>
      </c>
    </row>
    <row r="180" spans="1:3" x14ac:dyDescent="0.25">
      <c r="A180" s="27">
        <v>2431949.34</v>
      </c>
      <c r="B180" s="27">
        <v>2115455.7799999998</v>
      </c>
      <c r="C180" s="27">
        <v>2373756.2000000002</v>
      </c>
    </row>
    <row r="181" spans="1:3" x14ac:dyDescent="0.25">
      <c r="A181" s="27">
        <v>3391856.71</v>
      </c>
      <c r="B181" s="27">
        <v>3402353.58</v>
      </c>
      <c r="C181" s="27">
        <v>2864803.22</v>
      </c>
    </row>
    <row r="182" spans="1:3" x14ac:dyDescent="0.25">
      <c r="A182" s="27">
        <v>5017177.57</v>
      </c>
      <c r="B182" s="27">
        <v>3721760.24</v>
      </c>
      <c r="C182" s="27">
        <v>1470204.08</v>
      </c>
    </row>
    <row r="183" spans="1:3" x14ac:dyDescent="0.25">
      <c r="A183" s="27">
        <v>1064956.1299999999</v>
      </c>
      <c r="B183" s="27">
        <v>1089013.3899999999</v>
      </c>
      <c r="C183" s="27">
        <v>1691166.24</v>
      </c>
    </row>
    <row r="184" spans="1:3" x14ac:dyDescent="0.25">
      <c r="A184" s="27">
        <v>2518963.83</v>
      </c>
      <c r="B184" s="27">
        <v>4646389.96</v>
      </c>
      <c r="C184" s="27">
        <v>1726953.63</v>
      </c>
    </row>
    <row r="185" spans="1:3" x14ac:dyDescent="0.25">
      <c r="A185" s="27">
        <v>1400050</v>
      </c>
      <c r="B185" s="27">
        <v>1751506</v>
      </c>
      <c r="C185" s="27">
        <v>1824751</v>
      </c>
    </row>
    <row r="186" spans="1:3" x14ac:dyDescent="0.25">
      <c r="A186" s="27">
        <v>2736769.95</v>
      </c>
      <c r="B186" s="27">
        <v>1636193.48</v>
      </c>
      <c r="C186" s="27">
        <v>1668393.55</v>
      </c>
    </row>
    <row r="187" spans="1:3" x14ac:dyDescent="0.25">
      <c r="A187" s="27">
        <v>4664397.5199999996</v>
      </c>
      <c r="B187" s="27">
        <v>4225714.55</v>
      </c>
      <c r="C187" s="27">
        <v>8174537.7300000004</v>
      </c>
    </row>
    <row r="188" spans="1:3" x14ac:dyDescent="0.25">
      <c r="A188" s="27">
        <v>3626382.19</v>
      </c>
      <c r="B188" s="27">
        <v>5251400.3600000003</v>
      </c>
      <c r="C188" s="27">
        <v>3442455.95</v>
      </c>
    </row>
    <row r="189" spans="1:3" x14ac:dyDescent="0.25">
      <c r="A189" s="27">
        <v>1451791.77</v>
      </c>
      <c r="B189" s="27">
        <v>4584969.21</v>
      </c>
      <c r="C189" s="27">
        <v>1018038.46</v>
      </c>
    </row>
    <row r="190" spans="1:3" x14ac:dyDescent="0.25">
      <c r="A190" s="27">
        <v>1198012.53</v>
      </c>
      <c r="B190" s="27">
        <v>577757.61</v>
      </c>
      <c r="C190" s="27">
        <v>1155728.97</v>
      </c>
    </row>
    <row r="191" spans="1:3" x14ac:dyDescent="0.25">
      <c r="A191" s="27">
        <v>741972.68</v>
      </c>
      <c r="B191" s="27">
        <v>969156.07</v>
      </c>
      <c r="C191" s="27">
        <v>3565172.33</v>
      </c>
    </row>
    <row r="192" spans="1:3" x14ac:dyDescent="0.25">
      <c r="A192" s="27">
        <v>1176215.8</v>
      </c>
      <c r="B192" s="27">
        <v>1274971.3799999999</v>
      </c>
      <c r="C192" s="27">
        <v>2941508.92</v>
      </c>
    </row>
    <row r="193" spans="1:3" x14ac:dyDescent="0.25">
      <c r="A193" s="27">
        <v>473450.67</v>
      </c>
      <c r="B193" s="27">
        <v>2235604.88</v>
      </c>
      <c r="C193" s="27">
        <v>2198478.66</v>
      </c>
    </row>
    <row r="194" spans="1:3" x14ac:dyDescent="0.25">
      <c r="A194" s="27">
        <v>15697126.68</v>
      </c>
      <c r="B194" s="27">
        <v>24253297.07</v>
      </c>
      <c r="C194" s="27">
        <v>24101508.280000001</v>
      </c>
    </row>
    <row r="195" spans="1:3" x14ac:dyDescent="0.25">
      <c r="A195" s="27">
        <v>1401191.27</v>
      </c>
      <c r="B195" s="27">
        <v>1830043.88</v>
      </c>
      <c r="C195" s="27">
        <v>1484817.44</v>
      </c>
    </row>
    <row r="196" spans="1:3" x14ac:dyDescent="0.25">
      <c r="A196" s="27">
        <v>1271961.46</v>
      </c>
      <c r="B196" s="27">
        <v>1420647.38</v>
      </c>
      <c r="C196" s="27">
        <v>1764894.22</v>
      </c>
    </row>
    <row r="197" spans="1:3" x14ac:dyDescent="0.25">
      <c r="A197" s="27">
        <v>1737630.13</v>
      </c>
      <c r="B197" s="27">
        <v>1052196.57</v>
      </c>
      <c r="C197" s="27">
        <v>3771195.32</v>
      </c>
    </row>
    <row r="198" spans="1:3" x14ac:dyDescent="0.25">
      <c r="A198" s="27">
        <v>1226981</v>
      </c>
      <c r="B198" s="27">
        <v>1675281</v>
      </c>
      <c r="C198" s="27">
        <v>2016470</v>
      </c>
    </row>
    <row r="199" spans="1:3" x14ac:dyDescent="0.25">
      <c r="A199" s="27">
        <v>1995729.34</v>
      </c>
      <c r="B199" s="27">
        <v>1588662.18</v>
      </c>
      <c r="C199" s="27">
        <v>2611623.2400000002</v>
      </c>
    </row>
    <row r="200" spans="1:3" x14ac:dyDescent="0.25">
      <c r="A200" s="27">
        <v>3633960.09</v>
      </c>
      <c r="B200" s="27">
        <v>2978372.57</v>
      </c>
      <c r="C200" s="27">
        <v>3336551.97</v>
      </c>
    </row>
    <row r="201" spans="1:3" x14ac:dyDescent="0.25">
      <c r="A201" s="27">
        <v>1436766.16</v>
      </c>
      <c r="B201" s="27">
        <v>1504285.01</v>
      </c>
      <c r="C201" s="27">
        <v>1605683.24</v>
      </c>
    </row>
    <row r="202" spans="1:3" x14ac:dyDescent="0.25">
      <c r="A202" s="27">
        <v>8129352.8200000003</v>
      </c>
      <c r="B202" s="27">
        <v>7295525.4500000002</v>
      </c>
      <c r="C202" s="27">
        <v>5314816.01</v>
      </c>
    </row>
    <row r="203" spans="1:3" x14ac:dyDescent="0.25">
      <c r="A203" s="27">
        <v>7048134.1900000004</v>
      </c>
      <c r="B203" s="27">
        <v>9369847.7899999991</v>
      </c>
      <c r="C203" s="27">
        <v>13276673.02</v>
      </c>
    </row>
    <row r="204" spans="1:3" x14ac:dyDescent="0.25">
      <c r="A204" s="27">
        <v>5018594.17</v>
      </c>
      <c r="B204" s="27">
        <v>10419156.779999999</v>
      </c>
      <c r="C204" s="27">
        <v>9474033.3900000006</v>
      </c>
    </row>
    <row r="205" spans="1:3" x14ac:dyDescent="0.25">
      <c r="A205" s="27">
        <v>1862387.96</v>
      </c>
      <c r="B205" s="27">
        <v>1947842.02</v>
      </c>
      <c r="C205" s="27">
        <v>1435351.4</v>
      </c>
    </row>
    <row r="206" spans="1:3" x14ac:dyDescent="0.25">
      <c r="A206" s="27">
        <v>655508.86</v>
      </c>
      <c r="B206" s="27">
        <v>860376.6</v>
      </c>
      <c r="C206" s="27">
        <v>699885.91</v>
      </c>
    </row>
    <row r="207" spans="1:3" x14ac:dyDescent="0.25">
      <c r="A207" s="27">
        <v>1459074.97</v>
      </c>
      <c r="B207" s="27">
        <v>1244812.42</v>
      </c>
      <c r="C207" s="27">
        <v>1519483.94</v>
      </c>
    </row>
    <row r="208" spans="1:3" x14ac:dyDescent="0.25">
      <c r="A208" s="27">
        <v>7891731.46</v>
      </c>
      <c r="B208" s="27">
        <v>4493783.6500000004</v>
      </c>
      <c r="C208" s="27">
        <v>10468682.24</v>
      </c>
    </row>
    <row r="209" spans="1:3" x14ac:dyDescent="0.25">
      <c r="A209" s="27">
        <v>2745801.5</v>
      </c>
      <c r="B209" s="27">
        <v>2163060.59</v>
      </c>
      <c r="C209" s="27">
        <v>2146432.4700000002</v>
      </c>
    </row>
    <row r="210" spans="1:3" x14ac:dyDescent="0.25">
      <c r="A210" s="27">
        <v>802576.6</v>
      </c>
      <c r="B210" s="27">
        <v>985607.57</v>
      </c>
      <c r="C210" s="27">
        <v>1012410.53</v>
      </c>
    </row>
    <row r="211" spans="1:3" x14ac:dyDescent="0.25">
      <c r="A211" s="27">
        <v>1336009</v>
      </c>
      <c r="B211" s="27">
        <v>1482761</v>
      </c>
      <c r="C211" s="27">
        <v>2768795</v>
      </c>
    </row>
    <row r="212" spans="1:3" x14ac:dyDescent="0.25">
      <c r="A212" s="27">
        <v>5070423.79</v>
      </c>
      <c r="B212" s="27">
        <v>3125058.45</v>
      </c>
      <c r="C212" s="27">
        <v>8162824.9400000004</v>
      </c>
    </row>
    <row r="213" spans="1:3" x14ac:dyDescent="0.25">
      <c r="A213" s="27">
        <v>5794532.5700000003</v>
      </c>
      <c r="B213" s="27">
        <v>7326920.6699999999</v>
      </c>
      <c r="C213" s="27">
        <v>8867834.3800000008</v>
      </c>
    </row>
    <row r="214" spans="1:3" x14ac:dyDescent="0.25">
      <c r="A214" s="27">
        <v>1039428.58</v>
      </c>
      <c r="B214" s="27">
        <v>386609.58</v>
      </c>
      <c r="C214" s="27">
        <v>1836312.2</v>
      </c>
    </row>
    <row r="215" spans="1:3" x14ac:dyDescent="0.25">
      <c r="A215" s="27">
        <v>1776591.91</v>
      </c>
      <c r="B215" s="27">
        <v>8430111.9000000004</v>
      </c>
      <c r="C215" s="27">
        <v>3565470.82</v>
      </c>
    </row>
    <row r="216" spans="1:3" x14ac:dyDescent="0.25">
      <c r="A216" s="27">
        <v>1132651.56</v>
      </c>
      <c r="B216" s="27">
        <v>1445902.21</v>
      </c>
      <c r="C216" s="27">
        <v>1952463.25</v>
      </c>
    </row>
    <row r="217" spans="1:3" x14ac:dyDescent="0.25">
      <c r="A217" s="27">
        <v>1735537.85</v>
      </c>
      <c r="B217" s="27">
        <v>1413771.29</v>
      </c>
      <c r="C217" s="27">
        <v>1296905.3799999999</v>
      </c>
    </row>
    <row r="218" spans="1:3" x14ac:dyDescent="0.25">
      <c r="A218" s="27">
        <v>2766132</v>
      </c>
      <c r="B218" s="27">
        <v>1139101</v>
      </c>
      <c r="C218" s="27">
        <v>1661365.51</v>
      </c>
    </row>
    <row r="219" spans="1:3" x14ac:dyDescent="0.25">
      <c r="A219" s="27">
        <v>8178047.4199999999</v>
      </c>
      <c r="B219" s="27">
        <v>7496224.2199999997</v>
      </c>
      <c r="C219" s="27">
        <v>8908397.1400000006</v>
      </c>
    </row>
    <row r="220" spans="1:3" x14ac:dyDescent="0.25">
      <c r="A220" s="27">
        <v>4325943.2699999996</v>
      </c>
      <c r="B220" s="27">
        <v>6808782.0999999996</v>
      </c>
      <c r="C220" s="27">
        <v>10768910.1</v>
      </c>
    </row>
    <row r="221" spans="1:3" x14ac:dyDescent="0.25">
      <c r="A221" s="27">
        <v>461195.72</v>
      </c>
      <c r="B221" s="27">
        <v>2826549.1</v>
      </c>
      <c r="C221" s="27">
        <v>3591866.43</v>
      </c>
    </row>
    <row r="222" spans="1:3" x14ac:dyDescent="0.25">
      <c r="A222" s="27">
        <v>2358176.39</v>
      </c>
      <c r="B222" s="27">
        <v>1396943.24</v>
      </c>
      <c r="C222" s="27">
        <v>2600961.14</v>
      </c>
    </row>
    <row r="223" spans="1:3" x14ac:dyDescent="0.25">
      <c r="A223" s="27">
        <v>2324440.89</v>
      </c>
      <c r="B223" s="27">
        <v>1949007.74</v>
      </c>
      <c r="C223" s="27">
        <v>959405.46</v>
      </c>
    </row>
    <row r="224" spans="1:3" x14ac:dyDescent="0.25">
      <c r="A224" s="27">
        <v>2305179.4</v>
      </c>
      <c r="B224" s="27">
        <v>1611136.36</v>
      </c>
      <c r="C224" s="27">
        <v>1362017.48</v>
      </c>
    </row>
    <row r="225" spans="1:3" x14ac:dyDescent="0.25">
      <c r="A225" s="27">
        <v>1576296.51</v>
      </c>
      <c r="B225" s="27">
        <v>3811398.35</v>
      </c>
      <c r="C225" s="27">
        <v>2305080.65</v>
      </c>
    </row>
    <row r="226" spans="1:3" x14ac:dyDescent="0.25">
      <c r="A226" s="27">
        <v>4703547.49</v>
      </c>
      <c r="B226" s="27">
        <v>3593329.32</v>
      </c>
      <c r="C226" s="27">
        <v>2688029.54</v>
      </c>
    </row>
    <row r="227" spans="1:3" x14ac:dyDescent="0.25">
      <c r="A227" s="27">
        <v>4216551.82</v>
      </c>
      <c r="B227" s="27">
        <v>3388931.5</v>
      </c>
      <c r="C227" s="27">
        <v>3107269.41</v>
      </c>
    </row>
    <row r="228" spans="1:3" x14ac:dyDescent="0.25">
      <c r="A228" s="27">
        <v>12510445.140000001</v>
      </c>
      <c r="B228" s="27">
        <v>14383489.42</v>
      </c>
      <c r="C228" s="27">
        <v>15252858.039999999</v>
      </c>
    </row>
    <row r="229" spans="1:3" x14ac:dyDescent="0.25">
      <c r="A229" s="27">
        <v>202378.77</v>
      </c>
      <c r="B229" s="27">
        <v>473536.66</v>
      </c>
      <c r="C229" s="27">
        <v>799277.18</v>
      </c>
    </row>
    <row r="230" spans="1:3" x14ac:dyDescent="0.25">
      <c r="A230" s="27">
        <v>1474576.62</v>
      </c>
      <c r="B230" s="27">
        <v>1201224.2</v>
      </c>
      <c r="C230" s="27">
        <v>1430509.31</v>
      </c>
    </row>
    <row r="231" spans="1:3" x14ac:dyDescent="0.25">
      <c r="A231" s="27">
        <v>7292794</v>
      </c>
      <c r="B231" s="27">
        <v>8592091.7899999991</v>
      </c>
      <c r="C231" s="27">
        <v>10055640.449999999</v>
      </c>
    </row>
    <row r="232" spans="1:3" x14ac:dyDescent="0.25">
      <c r="A232" s="27">
        <v>746514.52</v>
      </c>
      <c r="B232" s="27">
        <v>1178390.1000000001</v>
      </c>
      <c r="C232" s="27">
        <v>699293.23</v>
      </c>
    </row>
    <row r="233" spans="1:3" x14ac:dyDescent="0.25">
      <c r="A233" s="27">
        <v>6944432.5599999996</v>
      </c>
      <c r="B233" s="27">
        <v>6825035.4100000001</v>
      </c>
      <c r="C233" s="27">
        <v>16768949.970000001</v>
      </c>
    </row>
    <row r="234" spans="1:3" x14ac:dyDescent="0.25">
      <c r="A234" s="27">
        <v>7230499.0199999996</v>
      </c>
      <c r="B234" s="27">
        <v>5363479.6900000004</v>
      </c>
      <c r="C234" s="27">
        <v>8888270.8599999994</v>
      </c>
    </row>
    <row r="235" spans="1:3" x14ac:dyDescent="0.25">
      <c r="A235" s="27">
        <v>2526800</v>
      </c>
      <c r="B235" s="27">
        <v>1126289.8500000001</v>
      </c>
      <c r="C235" s="27">
        <v>2109406.9900000002</v>
      </c>
    </row>
    <row r="236" spans="1:3" x14ac:dyDescent="0.25">
      <c r="A236" s="27">
        <v>1462937.97</v>
      </c>
      <c r="B236" s="27">
        <v>1615413.93</v>
      </c>
      <c r="C236" s="27">
        <v>1749059.86</v>
      </c>
    </row>
    <row r="237" spans="1:3" x14ac:dyDescent="0.25">
      <c r="A237" s="27">
        <v>4511469.1500000004</v>
      </c>
      <c r="B237" s="27">
        <v>1295500</v>
      </c>
      <c r="C237" s="27">
        <v>1157990.23</v>
      </c>
    </row>
    <row r="238" spans="1:3" x14ac:dyDescent="0.25">
      <c r="A238" s="27">
        <v>903823.23</v>
      </c>
      <c r="B238" s="27">
        <v>1436560.73</v>
      </c>
      <c r="C238" s="27">
        <v>1999247.88</v>
      </c>
    </row>
    <row r="239" spans="1:3" x14ac:dyDescent="0.25">
      <c r="A239" s="27">
        <v>12941903.65</v>
      </c>
      <c r="B239" s="27">
        <v>6040858.2400000002</v>
      </c>
      <c r="C239" s="27">
        <v>5734741.3799999999</v>
      </c>
    </row>
    <row r="240" spans="1:3" x14ac:dyDescent="0.25">
      <c r="A240" s="27">
        <v>1940166.49</v>
      </c>
      <c r="B240" s="27">
        <v>2917641.34</v>
      </c>
      <c r="C240" s="27">
        <v>1518117.87</v>
      </c>
    </row>
    <row r="241" spans="1:3" x14ac:dyDescent="0.25">
      <c r="A241" s="27">
        <v>770036.96</v>
      </c>
      <c r="B241" s="27">
        <v>1268295.6399999999</v>
      </c>
      <c r="C241" s="27">
        <v>1201261.96</v>
      </c>
    </row>
    <row r="242" spans="1:3" x14ac:dyDescent="0.25">
      <c r="A242" s="27">
        <v>1887690.82</v>
      </c>
      <c r="B242" s="27">
        <v>1300673.98</v>
      </c>
      <c r="C242" s="27">
        <v>2275859.94</v>
      </c>
    </row>
    <row r="243" spans="1:3" x14ac:dyDescent="0.25">
      <c r="A243" s="27">
        <v>940197.06</v>
      </c>
      <c r="B243" s="27">
        <v>2643256.7999999998</v>
      </c>
      <c r="C243" s="27">
        <v>2081309.19</v>
      </c>
    </row>
    <row r="244" spans="1:3" x14ac:dyDescent="0.25">
      <c r="A244" s="27">
        <v>1099304.9099999999</v>
      </c>
      <c r="B244" s="27">
        <v>1061901.5900000001</v>
      </c>
      <c r="C244" s="27">
        <v>2457064.71</v>
      </c>
    </row>
    <row r="245" spans="1:3" x14ac:dyDescent="0.25">
      <c r="A245" s="27">
        <v>3024112.6</v>
      </c>
      <c r="B245" s="27">
        <v>2512213.09</v>
      </c>
      <c r="C245" s="27">
        <v>1506404.2</v>
      </c>
    </row>
    <row r="246" spans="1:3" x14ac:dyDescent="0.25">
      <c r="A246" s="27">
        <v>2744601.2</v>
      </c>
      <c r="B246" s="27">
        <v>4865127.03</v>
      </c>
      <c r="C246" s="27">
        <v>4568303.21</v>
      </c>
    </row>
    <row r="247" spans="1:3" x14ac:dyDescent="0.25">
      <c r="A247" s="27">
        <v>2702313.86</v>
      </c>
      <c r="B247" s="27">
        <v>3333296.55</v>
      </c>
      <c r="C247" s="27">
        <v>4740837.53</v>
      </c>
    </row>
    <row r="248" spans="1:3" x14ac:dyDescent="0.25">
      <c r="A248" s="27">
        <v>10289692.970000001</v>
      </c>
      <c r="B248" s="27">
        <v>8423002.9700000007</v>
      </c>
      <c r="C248" s="27">
        <v>14407441.74</v>
      </c>
    </row>
    <row r="249" spans="1:3" x14ac:dyDescent="0.25">
      <c r="A249" s="27">
        <v>958167.89</v>
      </c>
      <c r="B249" s="27">
        <v>2678319.31</v>
      </c>
      <c r="C249" s="27">
        <v>1190858.97</v>
      </c>
    </row>
    <row r="250" spans="1:3" x14ac:dyDescent="0.25">
      <c r="A250" s="27">
        <v>3176935.59</v>
      </c>
      <c r="B250" s="27">
        <v>671240.14</v>
      </c>
      <c r="C250" s="27">
        <v>1056942.97</v>
      </c>
    </row>
    <row r="251" spans="1:3" x14ac:dyDescent="0.25">
      <c r="A251" s="27">
        <v>2158593.7400000002</v>
      </c>
      <c r="B251" s="27">
        <v>2128097.7000000002</v>
      </c>
      <c r="C251" s="27">
        <v>1579407.78</v>
      </c>
    </row>
    <row r="252" spans="1:3" x14ac:dyDescent="0.25">
      <c r="A252" s="27">
        <v>448715.96</v>
      </c>
      <c r="B252" s="27">
        <v>1372373.82</v>
      </c>
      <c r="C252" s="27">
        <v>1616409.96</v>
      </c>
    </row>
    <row r="253" spans="1:3" x14ac:dyDescent="0.25">
      <c r="A253" s="27">
        <v>1063044.19</v>
      </c>
      <c r="B253" s="27">
        <v>448431.71</v>
      </c>
      <c r="C253" s="27">
        <v>1507617.16</v>
      </c>
    </row>
    <row r="254" spans="1:3" x14ac:dyDescent="0.25">
      <c r="A254" s="27">
        <v>327150.01</v>
      </c>
      <c r="B254" s="27">
        <v>1255639.6100000001</v>
      </c>
      <c r="C254" s="27">
        <v>1143903.43</v>
      </c>
    </row>
    <row r="255" spans="1:3" x14ac:dyDescent="0.25">
      <c r="A255" s="27">
        <v>1233008.48</v>
      </c>
      <c r="B255" s="27">
        <v>1678209.67</v>
      </c>
      <c r="C255" s="27">
        <v>1168064.28</v>
      </c>
    </row>
    <row r="256" spans="1:3" x14ac:dyDescent="0.25">
      <c r="A256" s="27">
        <v>1839433.25</v>
      </c>
      <c r="B256" s="27">
        <v>876457.13</v>
      </c>
      <c r="C256" s="27">
        <v>2526532.0299999998</v>
      </c>
    </row>
    <row r="257" spans="1:3" x14ac:dyDescent="0.25">
      <c r="A257" s="27">
        <v>1343587.85</v>
      </c>
      <c r="B257" s="27">
        <v>1945747.37</v>
      </c>
      <c r="C257" s="27">
        <v>2230026.2599999998</v>
      </c>
    </row>
    <row r="258" spans="1:3" x14ac:dyDescent="0.25">
      <c r="A258" s="27">
        <v>1846851.37</v>
      </c>
      <c r="B258" s="27">
        <v>4155799.21</v>
      </c>
      <c r="C258" s="27">
        <v>690384.04</v>
      </c>
    </row>
    <row r="259" spans="1:3" x14ac:dyDescent="0.25">
      <c r="A259" s="27">
        <v>2676080.09</v>
      </c>
      <c r="B259" s="27">
        <v>1430001.29</v>
      </c>
      <c r="C259" s="27">
        <v>1263490.2</v>
      </c>
    </row>
    <row r="260" spans="1:3" x14ac:dyDescent="0.25">
      <c r="A260" s="27">
        <v>1589509.39</v>
      </c>
      <c r="B260" s="27">
        <v>5289440.75</v>
      </c>
      <c r="C260" s="27">
        <v>4585094.5999999996</v>
      </c>
    </row>
    <row r="261" spans="1:3" x14ac:dyDescent="0.25">
      <c r="A261" s="27">
        <v>1806101.16</v>
      </c>
      <c r="B261" s="27">
        <v>2149520.54</v>
      </c>
      <c r="C261" s="27">
        <v>1531549.09</v>
      </c>
    </row>
    <row r="262" spans="1:3" x14ac:dyDescent="0.25">
      <c r="A262" s="27">
        <v>1475429.05</v>
      </c>
      <c r="B262" s="27">
        <v>2235414.3199999998</v>
      </c>
      <c r="C262" s="27">
        <v>1571121.42</v>
      </c>
    </row>
    <row r="263" spans="1:3" x14ac:dyDescent="0.25">
      <c r="A263" s="27">
        <v>10329485.41</v>
      </c>
      <c r="B263" s="27">
        <v>1919881.83</v>
      </c>
      <c r="C263" s="27">
        <v>2246366.84</v>
      </c>
    </row>
    <row r="264" spans="1:3" x14ac:dyDescent="0.25">
      <c r="A264" s="27">
        <v>1210802.01</v>
      </c>
      <c r="B264" s="27">
        <v>4564578.3499999996</v>
      </c>
      <c r="C264" s="27">
        <v>3587775.38</v>
      </c>
    </row>
    <row r="265" spans="1:3" x14ac:dyDescent="0.25">
      <c r="A265" s="27">
        <v>833526.82</v>
      </c>
      <c r="B265" s="27">
        <v>905634.28</v>
      </c>
      <c r="C265" s="27">
        <v>2550037.62</v>
      </c>
    </row>
    <row r="266" spans="1:3" x14ac:dyDescent="0.25">
      <c r="A266" s="27">
        <v>1533207.54</v>
      </c>
      <c r="B266" s="27">
        <v>1994464.05</v>
      </c>
      <c r="C266" s="27">
        <v>2164177.2999999998</v>
      </c>
    </row>
    <row r="267" spans="1:3" x14ac:dyDescent="0.25">
      <c r="A267" s="27">
        <v>2543142.33</v>
      </c>
      <c r="B267" s="27">
        <v>1320814.3700000001</v>
      </c>
      <c r="C267" s="27">
        <v>1001668.67</v>
      </c>
    </row>
    <row r="268" spans="1:3" x14ac:dyDescent="0.25">
      <c r="A268" s="27">
        <v>1877211.64</v>
      </c>
      <c r="B268" s="27">
        <v>3408612.34</v>
      </c>
      <c r="C268" s="27">
        <v>5635102.96</v>
      </c>
    </row>
    <row r="269" spans="1:3" x14ac:dyDescent="0.25">
      <c r="A269" s="27">
        <v>2183614.13</v>
      </c>
      <c r="B269" s="27">
        <v>2938922.26</v>
      </c>
      <c r="C269" s="27">
        <v>2657476.56</v>
      </c>
    </row>
    <row r="270" spans="1:3" x14ac:dyDescent="0.25">
      <c r="A270" s="27">
        <v>1599111.53</v>
      </c>
      <c r="B270" s="27">
        <v>548635</v>
      </c>
      <c r="C270" s="27">
        <v>1697994.32</v>
      </c>
    </row>
    <row r="271" spans="1:3" x14ac:dyDescent="0.25">
      <c r="A271" s="27">
        <v>5030571.7300000004</v>
      </c>
      <c r="B271" s="27">
        <v>2674115.29</v>
      </c>
      <c r="C271" s="27">
        <v>2133451.14</v>
      </c>
    </row>
    <row r="272" spans="1:3" x14ac:dyDescent="0.25">
      <c r="A272" s="27">
        <v>8552145.75</v>
      </c>
      <c r="B272" s="27">
        <v>3403372.43</v>
      </c>
      <c r="C272" s="27">
        <v>3907664.86</v>
      </c>
    </row>
    <row r="273" spans="1:3" x14ac:dyDescent="0.25">
      <c r="A273" s="27">
        <v>244162.92</v>
      </c>
      <c r="B273" s="27">
        <v>6754998.4299999997</v>
      </c>
      <c r="C273" s="27">
        <v>5715506.8600000003</v>
      </c>
    </row>
    <row r="274" spans="1:3" x14ac:dyDescent="0.25">
      <c r="A274" s="27">
        <v>1680240.86</v>
      </c>
      <c r="B274" s="27">
        <v>1103258.68</v>
      </c>
      <c r="C274" s="27">
        <v>650466.98</v>
      </c>
    </row>
    <row r="275" spans="1:3" x14ac:dyDescent="0.25">
      <c r="A275" s="27">
        <v>5741681.4000000004</v>
      </c>
      <c r="B275" s="27">
        <v>838348.19</v>
      </c>
      <c r="C275" s="27">
        <v>883159.36</v>
      </c>
    </row>
    <row r="276" spans="1:3" x14ac:dyDescent="0.25">
      <c r="A276" s="27">
        <v>1394982.59</v>
      </c>
      <c r="B276" s="27">
        <v>7981162.0700000003</v>
      </c>
      <c r="C276" s="27">
        <v>7982249.8899999997</v>
      </c>
    </row>
    <row r="277" spans="1:3" x14ac:dyDescent="0.25">
      <c r="A277" s="27">
        <v>12992130.16</v>
      </c>
      <c r="B277" s="27">
        <v>2225206.12</v>
      </c>
      <c r="C277" s="27">
        <v>1917197.74</v>
      </c>
    </row>
    <row r="278" spans="1:3" x14ac:dyDescent="0.25">
      <c r="A278" s="27">
        <v>992433.92</v>
      </c>
      <c r="B278" s="27">
        <v>12896000.27</v>
      </c>
      <c r="C278" s="27">
        <v>18771606.059999999</v>
      </c>
    </row>
    <row r="279" spans="1:3" x14ac:dyDescent="0.25">
      <c r="A279" s="27">
        <v>1353050.8</v>
      </c>
      <c r="B279" s="27">
        <v>679952.4</v>
      </c>
      <c r="C279" s="27">
        <v>1742145.12</v>
      </c>
    </row>
    <row r="280" spans="1:3" x14ac:dyDescent="0.25">
      <c r="A280" s="27">
        <v>4891810.88</v>
      </c>
      <c r="B280" s="27">
        <v>1859403.58</v>
      </c>
      <c r="C280" s="27">
        <v>530761.03</v>
      </c>
    </row>
    <row r="281" spans="1:3" x14ac:dyDescent="0.25">
      <c r="A281" s="27">
        <v>2061349.98</v>
      </c>
      <c r="B281" s="27">
        <v>1839644</v>
      </c>
      <c r="C281" s="27">
        <v>2593474.36</v>
      </c>
    </row>
    <row r="282" spans="1:3" x14ac:dyDescent="0.25">
      <c r="A282" s="27">
        <v>476687.51</v>
      </c>
      <c r="B282" s="27">
        <v>2543396.2599999998</v>
      </c>
      <c r="C282" s="27">
        <v>2129158.98</v>
      </c>
    </row>
    <row r="283" spans="1:3" x14ac:dyDescent="0.25">
      <c r="A283" s="27">
        <v>1800638.65</v>
      </c>
      <c r="B283" s="27">
        <v>3712146.32</v>
      </c>
      <c r="C283" s="27">
        <v>1670955.56</v>
      </c>
    </row>
    <row r="284" spans="1:3" x14ac:dyDescent="0.25">
      <c r="A284" s="27">
        <v>3625249.21</v>
      </c>
      <c r="B284" s="27">
        <v>1925922.36</v>
      </c>
      <c r="C284" s="27">
        <v>2215306.2000000002</v>
      </c>
    </row>
    <row r="285" spans="1:3" x14ac:dyDescent="0.25">
      <c r="A285" s="27">
        <v>2494957.46</v>
      </c>
      <c r="B285" s="27">
        <v>4754218.7</v>
      </c>
      <c r="C285" s="27">
        <v>1366836.62</v>
      </c>
    </row>
    <row r="286" spans="1:3" x14ac:dyDescent="0.25">
      <c r="A286" s="27">
        <v>259759.5</v>
      </c>
      <c r="B286" s="27">
        <v>2119122.21</v>
      </c>
      <c r="C286" s="27">
        <v>1469673.14</v>
      </c>
    </row>
    <row r="287" spans="1:3" x14ac:dyDescent="0.25">
      <c r="A287" s="27">
        <v>3126171.42</v>
      </c>
      <c r="B287" s="27">
        <v>1855036.05</v>
      </c>
      <c r="C287" s="27">
        <v>1242571.98</v>
      </c>
    </row>
    <row r="288" spans="1:3" x14ac:dyDescent="0.25">
      <c r="A288" s="27">
        <v>7497967.0099999998</v>
      </c>
      <c r="B288" s="27">
        <v>627654.68999999994</v>
      </c>
      <c r="C288" s="27">
        <v>3096665.87</v>
      </c>
    </row>
    <row r="289" spans="1:3" x14ac:dyDescent="0.25">
      <c r="A289" s="27">
        <v>6289685</v>
      </c>
      <c r="B289" s="27">
        <v>629953.14</v>
      </c>
      <c r="C289" s="27">
        <v>800859.07</v>
      </c>
    </row>
    <row r="290" spans="1:3" x14ac:dyDescent="0.25">
      <c r="A290" s="27">
        <v>2665415.2799999998</v>
      </c>
      <c r="B290" s="27">
        <v>11773028.17</v>
      </c>
      <c r="C290" s="27">
        <v>12416891.060000001</v>
      </c>
    </row>
    <row r="291" spans="1:3" x14ac:dyDescent="0.25">
      <c r="A291" s="27">
        <v>1434822.26</v>
      </c>
      <c r="B291" s="27">
        <v>2774252.76</v>
      </c>
      <c r="C291" s="27">
        <v>1365656.56</v>
      </c>
    </row>
    <row r="292" spans="1:3" x14ac:dyDescent="0.25">
      <c r="A292" s="27">
        <v>1323513.04</v>
      </c>
      <c r="B292" s="27">
        <v>2365584.71</v>
      </c>
      <c r="C292" s="27">
        <v>1067992.47</v>
      </c>
    </row>
    <row r="293" spans="1:3" x14ac:dyDescent="0.25">
      <c r="A293" s="27">
        <v>3713092.44</v>
      </c>
      <c r="B293" s="27">
        <v>1980845.93</v>
      </c>
      <c r="C293" s="27">
        <v>338935.02</v>
      </c>
    </row>
    <row r="294" spans="1:3" x14ac:dyDescent="0.25">
      <c r="A294" s="27">
        <v>2262914.15</v>
      </c>
      <c r="B294" s="27">
        <v>1840628.37</v>
      </c>
      <c r="C294" s="27">
        <v>3298783.74</v>
      </c>
    </row>
    <row r="295" spans="1:3" x14ac:dyDescent="0.25">
      <c r="A295" s="27">
        <v>1167191.4099999999</v>
      </c>
      <c r="B295" s="27">
        <v>460860.8</v>
      </c>
      <c r="C295" s="27">
        <v>1819128.95</v>
      </c>
    </row>
    <row r="296" spans="1:3" x14ac:dyDescent="0.25">
      <c r="A296" s="27">
        <v>2733919.91</v>
      </c>
      <c r="B296" s="27">
        <v>1111624.32</v>
      </c>
      <c r="C296" s="27">
        <v>1746496.21</v>
      </c>
    </row>
    <row r="297" spans="1:3" x14ac:dyDescent="0.25">
      <c r="A297" s="27">
        <v>1708852.08</v>
      </c>
      <c r="B297" s="27">
        <v>1525122.94</v>
      </c>
      <c r="C297" s="27">
        <v>2185560.4500000002</v>
      </c>
    </row>
    <row r="298" spans="1:3" x14ac:dyDescent="0.25">
      <c r="A298" s="27">
        <v>1316389.93</v>
      </c>
      <c r="B298" s="27">
        <v>1469773.06</v>
      </c>
      <c r="C298" s="27">
        <v>1398619.74</v>
      </c>
    </row>
    <row r="299" spans="1:3" x14ac:dyDescent="0.25">
      <c r="A299" s="27">
        <v>4235999.24</v>
      </c>
      <c r="B299" s="27">
        <v>2351331.7599999998</v>
      </c>
      <c r="C299" s="27">
        <v>741973.61</v>
      </c>
    </row>
    <row r="300" spans="1:3" x14ac:dyDescent="0.25">
      <c r="A300" s="27">
        <v>1709282.53</v>
      </c>
      <c r="B300" s="27">
        <v>1560374.73</v>
      </c>
      <c r="C300" s="27">
        <v>1489172.86</v>
      </c>
    </row>
    <row r="301" spans="1:3" x14ac:dyDescent="0.25">
      <c r="A301" s="27">
        <v>2108930.9900000002</v>
      </c>
      <c r="B301" s="27">
        <v>802938.65</v>
      </c>
      <c r="C301" s="27">
        <v>2050935.5</v>
      </c>
    </row>
    <row r="302" spans="1:3" x14ac:dyDescent="0.25">
      <c r="A302" s="27">
        <v>1226626.32</v>
      </c>
      <c r="B302" s="27">
        <v>2470055.31</v>
      </c>
      <c r="C302" s="27">
        <v>2586349.02</v>
      </c>
    </row>
    <row r="303" spans="1:3" x14ac:dyDescent="0.25">
      <c r="A303" s="27">
        <v>1606498.45</v>
      </c>
      <c r="B303" s="27">
        <v>1014838.38</v>
      </c>
      <c r="C303" s="27">
        <v>2627814.7999999998</v>
      </c>
    </row>
    <row r="304" spans="1:3" x14ac:dyDescent="0.25">
      <c r="A304" s="27">
        <v>7214593.2199999997</v>
      </c>
      <c r="B304" s="27">
        <v>1363005.89</v>
      </c>
      <c r="C304" s="27">
        <v>1859852.24</v>
      </c>
    </row>
    <row r="305" spans="1:3" x14ac:dyDescent="0.25">
      <c r="A305" s="27">
        <v>1210033.78</v>
      </c>
      <c r="B305" s="27">
        <v>14932700.48</v>
      </c>
      <c r="C305" s="27">
        <v>15527977.65</v>
      </c>
    </row>
    <row r="306" spans="1:3" x14ac:dyDescent="0.25">
      <c r="A306" s="27">
        <v>3061684.23</v>
      </c>
      <c r="B306" s="27">
        <v>3373845.8</v>
      </c>
      <c r="C306" s="27">
        <v>1876805.53</v>
      </c>
    </row>
    <row r="307" spans="1:3" x14ac:dyDescent="0.25">
      <c r="A307" s="27">
        <v>1094728.8500000001</v>
      </c>
      <c r="B307" s="27">
        <v>1525351.98</v>
      </c>
      <c r="C307" s="27">
        <v>1688725.55</v>
      </c>
    </row>
    <row r="308" spans="1:3" x14ac:dyDescent="0.25">
      <c r="A308" s="27">
        <v>1324146.26</v>
      </c>
      <c r="B308" s="27">
        <v>2427819.46</v>
      </c>
      <c r="C308" s="27">
        <v>3968639.26</v>
      </c>
    </row>
    <row r="309" spans="1:3" x14ac:dyDescent="0.25">
      <c r="A309" s="27">
        <v>4299210.1100000003</v>
      </c>
      <c r="B309" s="27">
        <v>1997903.73</v>
      </c>
      <c r="C309" s="27">
        <v>1220412.29</v>
      </c>
    </row>
    <row r="310" spans="1:3" x14ac:dyDescent="0.25">
      <c r="A310" s="27">
        <v>638941.18999999994</v>
      </c>
      <c r="B310" s="27">
        <v>1891249.16</v>
      </c>
      <c r="C310" s="27">
        <v>2967771.43</v>
      </c>
    </row>
    <row r="311" spans="1:3" x14ac:dyDescent="0.25">
      <c r="A311" s="27">
        <v>277510.88</v>
      </c>
      <c r="B311" s="27">
        <v>1128670.1100000001</v>
      </c>
      <c r="C311" s="27">
        <v>1221160.07</v>
      </c>
    </row>
    <row r="312" spans="1:3" x14ac:dyDescent="0.25">
      <c r="A312" s="27">
        <v>2102261.83</v>
      </c>
      <c r="B312" s="27">
        <v>1650309.99</v>
      </c>
      <c r="C312" s="27">
        <v>569146.76</v>
      </c>
    </row>
    <row r="313" spans="1:3" x14ac:dyDescent="0.25">
      <c r="A313" s="27">
        <v>2947009.62</v>
      </c>
      <c r="B313" s="27">
        <v>1042916.94</v>
      </c>
      <c r="C313" s="27">
        <v>1247139.7</v>
      </c>
    </row>
    <row r="314" spans="1:3" x14ac:dyDescent="0.25">
      <c r="A314" s="27">
        <v>1418764.56</v>
      </c>
      <c r="B314" s="27">
        <v>4068780.53</v>
      </c>
      <c r="C314" s="27">
        <v>4465027.1100000003</v>
      </c>
    </row>
    <row r="315" spans="1:3" x14ac:dyDescent="0.25">
      <c r="A315" s="27">
        <v>3503147.69</v>
      </c>
      <c r="B315" s="27">
        <v>1884182.88</v>
      </c>
      <c r="C315" s="27">
        <v>1879396.82</v>
      </c>
    </row>
    <row r="316" spans="1:3" x14ac:dyDescent="0.25">
      <c r="A316" s="27">
        <v>3710759.8</v>
      </c>
      <c r="B316" s="27">
        <v>3866790.43</v>
      </c>
      <c r="C316" s="27">
        <v>4217168.88</v>
      </c>
    </row>
    <row r="317" spans="1:3" x14ac:dyDescent="0.25">
      <c r="A317" s="27">
        <v>2051287.65</v>
      </c>
      <c r="B317" s="27">
        <v>1938774.85</v>
      </c>
      <c r="C317" s="27">
        <v>2210229.2200000002</v>
      </c>
    </row>
    <row r="318" spans="1:3" x14ac:dyDescent="0.25">
      <c r="A318" s="27">
        <v>2371641.2599999998</v>
      </c>
      <c r="B318" s="27">
        <v>3144964.87</v>
      </c>
      <c r="C318" s="27">
        <v>1298736.3999999999</v>
      </c>
    </row>
    <row r="319" spans="1:3" x14ac:dyDescent="0.25">
      <c r="A319" s="27">
        <v>1452220.94</v>
      </c>
      <c r="B319" s="27">
        <v>10091496.789999999</v>
      </c>
      <c r="C319" s="27">
        <v>2605506.34</v>
      </c>
    </row>
    <row r="320" spans="1:3" x14ac:dyDescent="0.25">
      <c r="A320" s="27">
        <v>2326302.0299999998</v>
      </c>
      <c r="B320" s="27">
        <v>2738308.15</v>
      </c>
      <c r="C320" s="27">
        <v>2122139.7799999998</v>
      </c>
    </row>
    <row r="321" spans="1:3" x14ac:dyDescent="0.25">
      <c r="A321" s="27">
        <v>1477729.04</v>
      </c>
      <c r="B321" s="27">
        <v>2099185.44</v>
      </c>
      <c r="C321" s="27">
        <v>2041036.76</v>
      </c>
    </row>
    <row r="322" spans="1:3" x14ac:dyDescent="0.25">
      <c r="A322" s="27">
        <v>921311.12</v>
      </c>
      <c r="B322" s="27">
        <v>2902686.96</v>
      </c>
      <c r="C322" s="27">
        <v>1935369.97</v>
      </c>
    </row>
    <row r="323" spans="1:3" x14ac:dyDescent="0.25">
      <c r="A323" s="27">
        <v>2702290.82</v>
      </c>
      <c r="B323" s="27">
        <v>2332511.92</v>
      </c>
      <c r="C323" s="27">
        <v>1177122.1599999999</v>
      </c>
    </row>
    <row r="324" spans="1:3" x14ac:dyDescent="0.25">
      <c r="A324" s="27">
        <v>1578917.87</v>
      </c>
      <c r="B324" s="27">
        <v>2605081.69</v>
      </c>
      <c r="C324" s="27">
        <v>5544665.9699999997</v>
      </c>
    </row>
    <row r="325" spans="1:3" x14ac:dyDescent="0.25">
      <c r="A325" s="27">
        <v>2050891.64</v>
      </c>
      <c r="B325" s="27">
        <v>2353143.86</v>
      </c>
      <c r="C325" s="27">
        <v>2300240.31</v>
      </c>
    </row>
    <row r="326" spans="1:3" x14ac:dyDescent="0.25">
      <c r="A326" s="27">
        <v>7189580.2599999998</v>
      </c>
      <c r="B326" s="27">
        <v>2509433.37</v>
      </c>
      <c r="C326" s="27">
        <v>2923733.43</v>
      </c>
    </row>
    <row r="327" spans="1:3" x14ac:dyDescent="0.25">
      <c r="A327" s="27">
        <v>4586143.0199999996</v>
      </c>
      <c r="B327" s="27">
        <v>5511314.4500000002</v>
      </c>
      <c r="C327" s="27">
        <v>5943407.4800000004</v>
      </c>
    </row>
    <row r="328" spans="1:3" x14ac:dyDescent="0.25">
      <c r="A328" s="27">
        <v>2191198.2799999998</v>
      </c>
      <c r="B328" s="27">
        <v>5218249.32</v>
      </c>
      <c r="C328" s="27">
        <v>4973140.21</v>
      </c>
    </row>
    <row r="329" spans="1:3" x14ac:dyDescent="0.25">
      <c r="A329" s="27">
        <v>2854275.58</v>
      </c>
      <c r="B329" s="27">
        <v>1658008.54</v>
      </c>
      <c r="C329" s="27">
        <v>2075844.37</v>
      </c>
    </row>
    <row r="330" spans="1:3" x14ac:dyDescent="0.25">
      <c r="A330" s="27">
        <v>1483343.97</v>
      </c>
      <c r="B330" s="27">
        <v>3446386.4</v>
      </c>
      <c r="C330" s="27">
        <v>3366751.93</v>
      </c>
    </row>
    <row r="331" spans="1:3" x14ac:dyDescent="0.25">
      <c r="A331" s="27">
        <v>2671443.34</v>
      </c>
      <c r="B331" s="27">
        <v>1812972.62</v>
      </c>
      <c r="C331" s="27">
        <v>3695669.26</v>
      </c>
    </row>
    <row r="332" spans="1:3" x14ac:dyDescent="0.25">
      <c r="A332" s="27">
        <v>1221906.55</v>
      </c>
      <c r="B332" s="27">
        <v>1025271.76</v>
      </c>
      <c r="C332" s="27">
        <v>2336402.12</v>
      </c>
    </row>
    <row r="333" spans="1:3" x14ac:dyDescent="0.25">
      <c r="A333" s="27">
        <v>39560737.68</v>
      </c>
      <c r="B333" s="27">
        <v>3327095.1</v>
      </c>
      <c r="C333" s="27">
        <v>1566819.61</v>
      </c>
    </row>
    <row r="334" spans="1:3" x14ac:dyDescent="0.25">
      <c r="A334" s="27">
        <v>871430.88</v>
      </c>
      <c r="B334" s="27">
        <v>41093502.659999996</v>
      </c>
      <c r="C334" s="27">
        <v>87042126.319999993</v>
      </c>
    </row>
    <row r="335" spans="1:3" x14ac:dyDescent="0.25">
      <c r="A335" s="27">
        <v>2312510.85</v>
      </c>
      <c r="B335" s="27">
        <v>994005.9</v>
      </c>
      <c r="C335" s="27">
        <v>1008660.11</v>
      </c>
    </row>
    <row r="336" spans="1:3" x14ac:dyDescent="0.25">
      <c r="A336" s="27">
        <v>4075348.48</v>
      </c>
      <c r="B336" s="27">
        <v>1800065.48</v>
      </c>
      <c r="C336" s="27">
        <v>3015038.78</v>
      </c>
    </row>
    <row r="337" spans="1:3" x14ac:dyDescent="0.25">
      <c r="A337" s="27">
        <v>22973368.760000002</v>
      </c>
      <c r="B337" s="27">
        <v>917577.18</v>
      </c>
      <c r="C337" s="27">
        <v>950081.9</v>
      </c>
    </row>
    <row r="338" spans="1:3" x14ac:dyDescent="0.25">
      <c r="A338" s="27">
        <v>3227777.1</v>
      </c>
      <c r="B338" s="27">
        <v>37533256.880000003</v>
      </c>
      <c r="C338" s="27">
        <v>38349601.149999999</v>
      </c>
    </row>
    <row r="339" spans="1:3" x14ac:dyDescent="0.25">
      <c r="A339" s="27">
        <v>2507458.62</v>
      </c>
      <c r="B339" s="27">
        <v>857672.6</v>
      </c>
      <c r="C339" s="27">
        <v>1504621.25</v>
      </c>
    </row>
    <row r="340" spans="1:3" x14ac:dyDescent="0.25">
      <c r="A340" s="27">
        <v>3349840.07</v>
      </c>
      <c r="B340" s="27">
        <v>1618585.24</v>
      </c>
      <c r="C340" s="27">
        <v>2909327.6</v>
      </c>
    </row>
    <row r="341" spans="1:3" x14ac:dyDescent="0.25">
      <c r="A341" s="27">
        <v>2738919.05</v>
      </c>
      <c r="B341" s="27">
        <v>4759181.93</v>
      </c>
      <c r="C341" s="27">
        <v>12091153.93</v>
      </c>
    </row>
    <row r="342" spans="1:3" x14ac:dyDescent="0.25">
      <c r="A342" s="27">
        <v>4358022.1399999997</v>
      </c>
      <c r="B342" s="27">
        <v>2002876.73</v>
      </c>
      <c r="C342" s="27">
        <v>3071941.36</v>
      </c>
    </row>
    <row r="343" spans="1:3" x14ac:dyDescent="0.25">
      <c r="A343" s="27">
        <v>3438179.77</v>
      </c>
      <c r="B343" s="27">
        <v>6858923.46</v>
      </c>
      <c r="C343" s="27">
        <v>8071237.5</v>
      </c>
    </row>
    <row r="344" spans="1:3" x14ac:dyDescent="0.25">
      <c r="A344" s="27">
        <v>1834320.31</v>
      </c>
      <c r="B344" s="27">
        <v>1628378.24</v>
      </c>
      <c r="C344" s="27">
        <v>2259816.92</v>
      </c>
    </row>
    <row r="345" spans="1:3" x14ac:dyDescent="0.25">
      <c r="A345" s="27">
        <v>1626645.63</v>
      </c>
      <c r="B345" s="27">
        <v>2057303.44</v>
      </c>
      <c r="C345" s="27">
        <v>5022700.96</v>
      </c>
    </row>
    <row r="346" spans="1:3" x14ac:dyDescent="0.25">
      <c r="A346" s="27">
        <v>5119053.07</v>
      </c>
      <c r="B346" s="27">
        <v>660610.84</v>
      </c>
      <c r="C346" s="27">
        <v>1397824.68</v>
      </c>
    </row>
    <row r="347" spans="1:3" x14ac:dyDescent="0.25">
      <c r="A347" s="27">
        <v>8072871.3899999997</v>
      </c>
      <c r="B347" s="27">
        <v>1651841.18</v>
      </c>
      <c r="C347" s="27">
        <v>5565308.6799999997</v>
      </c>
    </row>
    <row r="348" spans="1:3" x14ac:dyDescent="0.25">
      <c r="A348" s="27">
        <v>1626196.4</v>
      </c>
      <c r="B348" s="27">
        <v>8684991.8000000007</v>
      </c>
      <c r="C348" s="27">
        <v>11309883.4</v>
      </c>
    </row>
    <row r="349" spans="1:3" x14ac:dyDescent="0.25">
      <c r="A349" s="27">
        <v>3553610.53</v>
      </c>
      <c r="B349" s="27">
        <v>1974505.58</v>
      </c>
      <c r="C349" s="27">
        <v>909375.65</v>
      </c>
    </row>
    <row r="350" spans="1:3" x14ac:dyDescent="0.25">
      <c r="A350" s="27">
        <v>13136542.699999999</v>
      </c>
      <c r="B350" s="27">
        <v>1347592.36</v>
      </c>
      <c r="C350" s="27">
        <v>852958.35</v>
      </c>
    </row>
    <row r="351" spans="1:3" x14ac:dyDescent="0.25">
      <c r="A351" s="27">
        <v>1865860.5</v>
      </c>
      <c r="B351" s="27">
        <v>17513041.02</v>
      </c>
      <c r="C351" s="27">
        <v>66049452.25</v>
      </c>
    </row>
    <row r="352" spans="1:3" x14ac:dyDescent="0.25">
      <c r="A352" s="27">
        <v>4143466</v>
      </c>
      <c r="B352" s="27">
        <v>1843312.81</v>
      </c>
      <c r="C352" s="27">
        <v>706674.46</v>
      </c>
    </row>
    <row r="353" spans="1:3" x14ac:dyDescent="0.25">
      <c r="A353" s="27">
        <v>738318.49</v>
      </c>
      <c r="B353" s="27">
        <v>2090897</v>
      </c>
      <c r="C353" s="27">
        <v>2150242</v>
      </c>
    </row>
    <row r="354" spans="1:3" x14ac:dyDescent="0.25">
      <c r="A354" s="27">
        <v>4200511.37</v>
      </c>
      <c r="B354" s="27">
        <v>764428.64</v>
      </c>
      <c r="C354" s="27">
        <v>2658826.56</v>
      </c>
    </row>
    <row r="355" spans="1:3" x14ac:dyDescent="0.25">
      <c r="A355" s="27">
        <v>1160357.8799999999</v>
      </c>
      <c r="B355" s="27">
        <v>4374937.2699999996</v>
      </c>
      <c r="C355" s="27">
        <v>1582563.3</v>
      </c>
    </row>
    <row r="356" spans="1:3" x14ac:dyDescent="0.25">
      <c r="A356" s="27">
        <v>45041501.560000002</v>
      </c>
      <c r="B356" s="27">
        <v>1934450.77</v>
      </c>
      <c r="C356" s="27">
        <v>2789355.2</v>
      </c>
    </row>
    <row r="357" spans="1:3" x14ac:dyDescent="0.25">
      <c r="A357" s="27">
        <v>2821993.21</v>
      </c>
      <c r="B357" s="27">
        <v>31034274.300000001</v>
      </c>
      <c r="C357" s="27">
        <v>51536337.890000001</v>
      </c>
    </row>
    <row r="358" spans="1:3" x14ac:dyDescent="0.25">
      <c r="A358" s="27">
        <v>1701089.33</v>
      </c>
      <c r="B358" s="27">
        <v>2471042.2799999998</v>
      </c>
      <c r="C358" s="27">
        <v>3376198.45</v>
      </c>
    </row>
    <row r="359" spans="1:3" x14ac:dyDescent="0.25">
      <c r="A359" s="27">
        <v>4276263.3899999997</v>
      </c>
      <c r="B359" s="27">
        <v>1967938</v>
      </c>
      <c r="C359" s="27">
        <v>3128663.42</v>
      </c>
    </row>
    <row r="360" spans="1:3" x14ac:dyDescent="0.25">
      <c r="A360" s="27">
        <v>1514270.7</v>
      </c>
      <c r="B360" s="27">
        <v>5092914.2699999996</v>
      </c>
      <c r="C360" s="27">
        <v>3684271.35</v>
      </c>
    </row>
    <row r="361" spans="1:3" x14ac:dyDescent="0.25">
      <c r="A361" s="27">
        <v>2014895.64</v>
      </c>
      <c r="B361" s="27">
        <v>1432631.71</v>
      </c>
      <c r="C361" s="27">
        <v>3237439.86</v>
      </c>
    </row>
    <row r="362" spans="1:3" x14ac:dyDescent="0.25">
      <c r="A362" s="27">
        <v>2039531.88</v>
      </c>
      <c r="B362" s="27">
        <v>2329502.31</v>
      </c>
      <c r="C362" s="27">
        <v>3861093.69</v>
      </c>
    </row>
    <row r="363" spans="1:3" x14ac:dyDescent="0.25">
      <c r="A363" s="27">
        <v>594493.06999999995</v>
      </c>
      <c r="B363" s="27">
        <v>1678609.62</v>
      </c>
      <c r="C363" s="27">
        <v>897223.43</v>
      </c>
    </row>
    <row r="364" spans="1:3" x14ac:dyDescent="0.25">
      <c r="A364" s="27">
        <v>2076770.3</v>
      </c>
      <c r="B364" s="27">
        <v>1534846.7</v>
      </c>
      <c r="C364" s="27">
        <v>656348.98</v>
      </c>
    </row>
    <row r="365" spans="1:3" x14ac:dyDescent="0.25">
      <c r="A365" s="27">
        <v>1209816.05</v>
      </c>
      <c r="B365" s="27">
        <v>1477841.9199999999</v>
      </c>
      <c r="C365" s="27">
        <v>3500499.32</v>
      </c>
    </row>
    <row r="366" spans="1:3" x14ac:dyDescent="0.25">
      <c r="A366" s="27">
        <v>2835367.17</v>
      </c>
      <c r="B366" s="27">
        <v>1456792.35</v>
      </c>
      <c r="C366" s="27">
        <v>2116331.15</v>
      </c>
    </row>
    <row r="367" spans="1:3" x14ac:dyDescent="0.25">
      <c r="A367" s="27">
        <v>1266678.32</v>
      </c>
      <c r="B367" s="27">
        <v>2140852.35</v>
      </c>
      <c r="C367" s="27">
        <v>3397451.58</v>
      </c>
    </row>
    <row r="368" spans="1:3" x14ac:dyDescent="0.25">
      <c r="A368" s="27">
        <v>1473088</v>
      </c>
      <c r="B368" s="27">
        <v>1564763.43</v>
      </c>
      <c r="C368" s="27">
        <v>1773481.14</v>
      </c>
    </row>
    <row r="369" spans="1:3" x14ac:dyDescent="0.25">
      <c r="A369" s="27">
        <v>5057207.99</v>
      </c>
      <c r="B369" s="27">
        <v>2511315</v>
      </c>
      <c r="C369" s="27">
        <v>2680403</v>
      </c>
    </row>
    <row r="370" spans="1:3" x14ac:dyDescent="0.25">
      <c r="A370" s="27">
        <v>286981724.43000001</v>
      </c>
      <c r="B370" s="27">
        <v>6075235.7199999997</v>
      </c>
      <c r="C370" s="27">
        <v>13897217.48</v>
      </c>
    </row>
    <row r="371" spans="1:3" x14ac:dyDescent="0.25">
      <c r="A371" s="27">
        <v>2161180.19</v>
      </c>
      <c r="B371" s="27">
        <v>333095238.83999997</v>
      </c>
      <c r="C371" s="27">
        <v>426021430.66000003</v>
      </c>
    </row>
    <row r="372" spans="1:3" x14ac:dyDescent="0.25">
      <c r="A372" s="27">
        <v>1725032.92</v>
      </c>
      <c r="B372" s="27">
        <v>588706.84</v>
      </c>
      <c r="C372" s="27">
        <v>949179.68</v>
      </c>
    </row>
    <row r="373" spans="1:3" x14ac:dyDescent="0.25">
      <c r="A373" s="27">
        <v>745734.56</v>
      </c>
      <c r="B373" s="27">
        <v>920243.82</v>
      </c>
      <c r="C373" s="27">
        <v>1023328.61</v>
      </c>
    </row>
    <row r="374" spans="1:3" x14ac:dyDescent="0.25">
      <c r="A374" s="27">
        <v>1292797.03</v>
      </c>
      <c r="B374" s="27">
        <v>916756.28</v>
      </c>
      <c r="C374" s="27">
        <v>786997.38</v>
      </c>
    </row>
    <row r="375" spans="1:3" x14ac:dyDescent="0.25">
      <c r="A375" s="27">
        <v>635965.77</v>
      </c>
      <c r="B375" s="27">
        <v>1559364.24</v>
      </c>
      <c r="C375" s="27">
        <v>3400351.54</v>
      </c>
    </row>
    <row r="376" spans="1:3" x14ac:dyDescent="0.25">
      <c r="A376" s="27">
        <v>3814572.58</v>
      </c>
      <c r="B376" s="27">
        <v>2227129.0299999998</v>
      </c>
      <c r="C376" s="27">
        <v>851865.67</v>
      </c>
    </row>
    <row r="377" spans="1:3" x14ac:dyDescent="0.25">
      <c r="A377" s="27">
        <v>9555441.0899999999</v>
      </c>
      <c r="B377" s="27">
        <v>738888.09</v>
      </c>
      <c r="C377" s="27">
        <v>2356029.7400000002</v>
      </c>
    </row>
    <row r="378" spans="1:3" x14ac:dyDescent="0.25">
      <c r="A378" s="27">
        <v>2446425.23</v>
      </c>
      <c r="B378" s="27">
        <v>2296689.4</v>
      </c>
      <c r="C378" s="27">
        <v>1478454.8</v>
      </c>
    </row>
    <row r="379" spans="1:3" x14ac:dyDescent="0.25">
      <c r="A379" s="27">
        <v>4237688.4000000004</v>
      </c>
      <c r="B379" s="27">
        <v>2516027.7200000002</v>
      </c>
      <c r="C379" s="27">
        <v>2758238.43</v>
      </c>
    </row>
    <row r="380" spans="1:3" x14ac:dyDescent="0.25">
      <c r="A380" s="27">
        <v>4398982.76</v>
      </c>
      <c r="B380" s="27">
        <v>1432556.42</v>
      </c>
      <c r="C380" s="27">
        <v>2180913.85</v>
      </c>
    </row>
    <row r="381" spans="1:3" x14ac:dyDescent="0.25">
      <c r="A381" s="27">
        <v>1240281.19</v>
      </c>
      <c r="B381" s="27">
        <v>4463207.25</v>
      </c>
      <c r="C381" s="27">
        <v>3172568.36</v>
      </c>
    </row>
    <row r="382" spans="1:3" x14ac:dyDescent="0.25">
      <c r="A382" s="27">
        <v>370878.93</v>
      </c>
      <c r="B382" s="27">
        <v>1253311.49</v>
      </c>
      <c r="C382" s="27">
        <v>828918.19</v>
      </c>
    </row>
    <row r="383" spans="1:3" x14ac:dyDescent="0.25">
      <c r="A383" s="27">
        <v>1364491.5</v>
      </c>
      <c r="B383" s="27">
        <v>1622940.51</v>
      </c>
      <c r="C383" s="27">
        <v>876659.19</v>
      </c>
    </row>
    <row r="384" spans="1:3" x14ac:dyDescent="0.25">
      <c r="A384" s="27">
        <v>1106165.68</v>
      </c>
      <c r="B384" s="27">
        <v>1673792.94</v>
      </c>
      <c r="C384" s="27">
        <v>1480802.95</v>
      </c>
    </row>
    <row r="385" spans="1:3" x14ac:dyDescent="0.25">
      <c r="A385" s="27">
        <v>1509536.97</v>
      </c>
      <c r="B385" s="27">
        <v>2463073.2599999998</v>
      </c>
      <c r="C385" s="27">
        <v>2225187.8199999998</v>
      </c>
    </row>
    <row r="386" spans="1:3" x14ac:dyDescent="0.25">
      <c r="A386" s="27">
        <v>4184218.2</v>
      </c>
      <c r="B386" s="27">
        <v>1790775.33</v>
      </c>
      <c r="C386" s="27">
        <v>1546446.16</v>
      </c>
    </row>
    <row r="387" spans="1:3" x14ac:dyDescent="0.25">
      <c r="A387" s="27">
        <v>651276.47</v>
      </c>
      <c r="B387" s="27">
        <v>4303879.82</v>
      </c>
      <c r="C387" s="27">
        <v>2514504.56</v>
      </c>
    </row>
    <row r="388" spans="1:3" x14ac:dyDescent="0.25">
      <c r="A388" s="27">
        <v>17685590.579999998</v>
      </c>
      <c r="B388" s="27">
        <v>1534568.47</v>
      </c>
      <c r="C388" s="27">
        <v>1651868.9</v>
      </c>
    </row>
    <row r="389" spans="1:3" x14ac:dyDescent="0.25">
      <c r="A389" s="27">
        <v>3112351.91</v>
      </c>
      <c r="B389" s="27">
        <v>42365822</v>
      </c>
      <c r="C389" s="27">
        <v>38982540.109999999</v>
      </c>
    </row>
    <row r="390" spans="1:3" x14ac:dyDescent="0.25">
      <c r="A390" s="27">
        <v>4972563.47</v>
      </c>
      <c r="B390" s="27">
        <v>4811894.22</v>
      </c>
      <c r="C390" s="27">
        <v>9557213.5999999996</v>
      </c>
    </row>
    <row r="391" spans="1:3" x14ac:dyDescent="0.25">
      <c r="A391" s="27">
        <v>1170296.94</v>
      </c>
      <c r="B391" s="27">
        <v>1014089.08</v>
      </c>
      <c r="C391" s="27">
        <v>2488363.7599999998</v>
      </c>
    </row>
    <row r="392" spans="1:3" x14ac:dyDescent="0.25">
      <c r="A392" s="27">
        <v>2563870.11</v>
      </c>
      <c r="B392" s="27">
        <v>2963222.52</v>
      </c>
      <c r="C392" s="27">
        <v>4889208.4800000004</v>
      </c>
    </row>
    <row r="393" spans="1:3" x14ac:dyDescent="0.25">
      <c r="A393" s="27">
        <v>1736759.04</v>
      </c>
      <c r="B393" s="27">
        <v>2235779.1800000002</v>
      </c>
      <c r="C393" s="27">
        <v>2303722.0499999998</v>
      </c>
    </row>
    <row r="394" spans="1:3" x14ac:dyDescent="0.25">
      <c r="A394" s="27">
        <v>10674298.83</v>
      </c>
      <c r="B394" s="27">
        <v>838705.6</v>
      </c>
      <c r="C394" s="27">
        <v>4318879.9400000004</v>
      </c>
    </row>
    <row r="395" spans="1:3" x14ac:dyDescent="0.25">
      <c r="A395" s="27">
        <v>2195163.19</v>
      </c>
      <c r="B395" s="27">
        <v>5309330.96</v>
      </c>
      <c r="C395" s="27">
        <v>7429961.1299999999</v>
      </c>
    </row>
    <row r="396" spans="1:3" x14ac:dyDescent="0.25">
      <c r="A396" s="27">
        <v>675416.4</v>
      </c>
      <c r="B396" s="27">
        <v>2266194.5</v>
      </c>
      <c r="C396" s="27">
        <v>2172244.7000000002</v>
      </c>
    </row>
    <row r="397" spans="1:3" x14ac:dyDescent="0.25">
      <c r="A397" s="27">
        <v>888010.36</v>
      </c>
      <c r="B397" s="27">
        <v>1678068.88</v>
      </c>
      <c r="C397" s="27">
        <v>1500099.72</v>
      </c>
    </row>
    <row r="398" spans="1:3" x14ac:dyDescent="0.25">
      <c r="A398" s="27">
        <v>736552.71</v>
      </c>
      <c r="B398" s="27">
        <v>1326887.53</v>
      </c>
      <c r="C398" s="27">
        <v>2766580.96</v>
      </c>
    </row>
    <row r="399" spans="1:3" x14ac:dyDescent="0.25">
      <c r="A399" s="27">
        <v>1841224.4</v>
      </c>
      <c r="B399" s="27">
        <v>4015621.18</v>
      </c>
      <c r="C399" s="27">
        <v>3130181.33</v>
      </c>
    </row>
    <row r="400" spans="1:3" x14ac:dyDescent="0.25">
      <c r="A400" s="27">
        <v>1371316.89</v>
      </c>
      <c r="B400" s="27">
        <v>1607131.88</v>
      </c>
      <c r="C400" s="27">
        <v>1233816.1399999999</v>
      </c>
    </row>
    <row r="401" spans="1:3" x14ac:dyDescent="0.25">
      <c r="A401" s="27">
        <v>3454547.08</v>
      </c>
      <c r="B401" s="27">
        <v>1085201.82</v>
      </c>
      <c r="C401" s="27">
        <v>831820.02</v>
      </c>
    </row>
    <row r="402" spans="1:3" x14ac:dyDescent="0.25">
      <c r="A402" s="27">
        <v>2118475.7999999998</v>
      </c>
      <c r="B402" s="27">
        <v>2667978.9300000002</v>
      </c>
      <c r="C402" s="27">
        <v>3176002.3</v>
      </c>
    </row>
    <row r="403" spans="1:3" x14ac:dyDescent="0.25">
      <c r="A403" s="27">
        <v>1385357.97</v>
      </c>
      <c r="B403" s="27">
        <v>1373695.74</v>
      </c>
      <c r="C403" s="27">
        <v>1121520.05</v>
      </c>
    </row>
    <row r="404" spans="1:3" x14ac:dyDescent="0.25">
      <c r="A404" s="27">
        <v>2779896.64</v>
      </c>
      <c r="B404" s="27">
        <v>2160042.9500000002</v>
      </c>
      <c r="C404" s="27">
        <v>2172010.13</v>
      </c>
    </row>
    <row r="405" spans="1:3" x14ac:dyDescent="0.25">
      <c r="A405" s="27">
        <v>3102456.63</v>
      </c>
      <c r="B405" s="27">
        <v>3009993.09</v>
      </c>
      <c r="C405" s="27">
        <v>5789201.5999999996</v>
      </c>
    </row>
    <row r="406" spans="1:3" x14ac:dyDescent="0.25">
      <c r="A406" s="27">
        <v>527106.27</v>
      </c>
      <c r="B406" s="27">
        <v>1018677.27</v>
      </c>
      <c r="C406" s="27">
        <v>810548.9</v>
      </c>
    </row>
    <row r="407" spans="1:3" x14ac:dyDescent="0.25">
      <c r="A407" s="27">
        <v>2018732.67</v>
      </c>
      <c r="B407" s="27">
        <v>2241484.14</v>
      </c>
      <c r="C407" s="27">
        <v>3145268.76</v>
      </c>
    </row>
    <row r="408" spans="1:3" x14ac:dyDescent="0.25">
      <c r="A408" s="27">
        <v>16357993.119999999</v>
      </c>
      <c r="B408" s="27">
        <v>3639186.34</v>
      </c>
      <c r="C408" s="27">
        <v>2247551.0699999998</v>
      </c>
    </row>
    <row r="409" spans="1:3" x14ac:dyDescent="0.25">
      <c r="A409" s="27">
        <v>366457.97</v>
      </c>
      <c r="B409" s="27">
        <v>19516589.829999998</v>
      </c>
      <c r="C409" s="27">
        <v>25756155.989999998</v>
      </c>
    </row>
    <row r="410" spans="1:3" x14ac:dyDescent="0.25">
      <c r="A410" s="27">
        <v>32092804</v>
      </c>
      <c r="B410" s="27">
        <v>996117.88</v>
      </c>
      <c r="C410" s="27">
        <v>1165789.58</v>
      </c>
    </row>
    <row r="411" spans="1:3" x14ac:dyDescent="0.25">
      <c r="A411" s="27">
        <v>748458.14</v>
      </c>
      <c r="B411" s="27">
        <v>38387090.890000001</v>
      </c>
      <c r="C411" s="27">
        <v>38661888.159999996</v>
      </c>
    </row>
    <row r="412" spans="1:3" x14ac:dyDescent="0.25">
      <c r="A412" s="27">
        <v>16019849.890000001</v>
      </c>
      <c r="B412" s="27">
        <v>1553685.53</v>
      </c>
      <c r="C412" s="27">
        <v>1315195.31</v>
      </c>
    </row>
    <row r="413" spans="1:3" x14ac:dyDescent="0.25">
      <c r="A413" s="27">
        <v>1225066.1000000001</v>
      </c>
      <c r="B413" s="27">
        <v>19399502.98</v>
      </c>
      <c r="C413" s="27">
        <v>32734260.579999998</v>
      </c>
    </row>
    <row r="414" spans="1:3" x14ac:dyDescent="0.25">
      <c r="A414" s="27">
        <v>1416567.55</v>
      </c>
      <c r="B414" s="27">
        <v>1153603.71</v>
      </c>
      <c r="C414" s="27">
        <v>986698.36</v>
      </c>
    </row>
    <row r="415" spans="1:3" x14ac:dyDescent="0.25">
      <c r="A415" s="27">
        <v>2305961.5</v>
      </c>
      <c r="B415" s="27">
        <v>3731742.16</v>
      </c>
      <c r="C415" s="27">
        <v>9287758.1199999992</v>
      </c>
    </row>
    <row r="416" spans="1:3" x14ac:dyDescent="0.25">
      <c r="A416" s="27">
        <v>6259627.3499999996</v>
      </c>
      <c r="B416" s="27">
        <v>1671090.68</v>
      </c>
      <c r="C416" s="27">
        <v>1639652.44</v>
      </c>
    </row>
    <row r="417" spans="1:3" x14ac:dyDescent="0.25">
      <c r="A417" s="27">
        <v>5060296.9400000004</v>
      </c>
      <c r="B417" s="27">
        <v>5952550.04</v>
      </c>
      <c r="C417" s="27">
        <v>10366523.33</v>
      </c>
    </row>
    <row r="418" spans="1:3" x14ac:dyDescent="0.25">
      <c r="A418" s="27">
        <v>7055141.6600000001</v>
      </c>
      <c r="B418" s="27">
        <v>11294383.060000001</v>
      </c>
      <c r="C418" s="27">
        <v>6423173.04</v>
      </c>
    </row>
    <row r="419" spans="1:3" x14ac:dyDescent="0.25">
      <c r="A419" s="27">
        <v>3146522.07</v>
      </c>
      <c r="B419" s="27">
        <v>13389605.25</v>
      </c>
      <c r="C419" s="27">
        <v>12903864.73</v>
      </c>
    </row>
    <row r="420" spans="1:3" x14ac:dyDescent="0.25">
      <c r="A420" s="27">
        <v>2654352.36</v>
      </c>
      <c r="B420" s="27">
        <v>5133660.4800000004</v>
      </c>
      <c r="C420" s="27">
        <v>6770452.6600000001</v>
      </c>
    </row>
    <row r="421" spans="1:3" x14ac:dyDescent="0.25">
      <c r="A421" s="27">
        <v>2056905.59</v>
      </c>
      <c r="B421" s="27">
        <v>2030422.46</v>
      </c>
      <c r="C421" s="27">
        <v>1466372.03</v>
      </c>
    </row>
    <row r="422" spans="1:3" x14ac:dyDescent="0.25">
      <c r="A422" s="27">
        <v>1282561.17</v>
      </c>
      <c r="B422" s="27">
        <v>2134989.23</v>
      </c>
      <c r="C422" s="27">
        <v>1908499.7</v>
      </c>
    </row>
    <row r="423" spans="1:3" x14ac:dyDescent="0.25">
      <c r="A423" s="27">
        <v>3206051.91</v>
      </c>
      <c r="B423" s="27">
        <v>1568225.2</v>
      </c>
      <c r="C423" s="27">
        <v>913064.85</v>
      </c>
    </row>
    <row r="424" spans="1:3" x14ac:dyDescent="0.25">
      <c r="A424" s="27">
        <v>2575517.52</v>
      </c>
      <c r="B424" s="27">
        <v>2228748.62</v>
      </c>
      <c r="C424" s="27">
        <v>2762375.84</v>
      </c>
    </row>
    <row r="425" spans="1:3" x14ac:dyDescent="0.25">
      <c r="A425" s="27">
        <v>1293327.69</v>
      </c>
      <c r="B425" s="27">
        <v>1888943.08</v>
      </c>
      <c r="C425" s="27">
        <v>1861969.47</v>
      </c>
    </row>
    <row r="426" spans="1:3" x14ac:dyDescent="0.25">
      <c r="A426" s="27">
        <v>7683583.4900000002</v>
      </c>
      <c r="B426" s="27">
        <v>518607.08</v>
      </c>
      <c r="C426" s="27">
        <v>1348433.96</v>
      </c>
    </row>
    <row r="427" spans="1:3" x14ac:dyDescent="0.25">
      <c r="A427" s="27">
        <v>588432.38</v>
      </c>
      <c r="B427" s="27">
        <v>11270565.58</v>
      </c>
      <c r="C427" s="27">
        <v>15093407.43</v>
      </c>
    </row>
    <row r="428" spans="1:3" x14ac:dyDescent="0.25">
      <c r="A428" s="27">
        <v>5929002.9100000001</v>
      </c>
      <c r="B428" s="27">
        <v>1953302.4</v>
      </c>
      <c r="C428" s="27">
        <v>1654142.52</v>
      </c>
    </row>
    <row r="429" spans="1:3" x14ac:dyDescent="0.25">
      <c r="A429" s="27">
        <v>3083632.47</v>
      </c>
      <c r="B429" s="27">
        <v>2841156.59</v>
      </c>
      <c r="C429" s="27">
        <v>3295331.13</v>
      </c>
    </row>
    <row r="430" spans="1:3" x14ac:dyDescent="0.25">
      <c r="A430" s="27">
        <v>8857733.5</v>
      </c>
      <c r="B430" s="27">
        <v>2413753.46</v>
      </c>
      <c r="C430" s="27">
        <v>2251319.92</v>
      </c>
    </row>
    <row r="431" spans="1:3" x14ac:dyDescent="0.25">
      <c r="A431" s="27">
        <v>2359660.9500000002</v>
      </c>
      <c r="B431" s="27">
        <v>8162763</v>
      </c>
      <c r="C431" s="27">
        <v>7326421.1299999999</v>
      </c>
    </row>
    <row r="432" spans="1:3" x14ac:dyDescent="0.25">
      <c r="A432" s="27">
        <v>1427730.44</v>
      </c>
      <c r="B432" s="27">
        <v>2315739.2799999998</v>
      </c>
      <c r="C432" s="27">
        <v>1354332.78</v>
      </c>
    </row>
    <row r="433" spans="1:3" x14ac:dyDescent="0.25">
      <c r="A433" s="27">
        <v>2151846.4</v>
      </c>
      <c r="B433" s="27">
        <v>2564301.33</v>
      </c>
      <c r="C433" s="27">
        <v>2063606.27</v>
      </c>
    </row>
    <row r="434" spans="1:3" x14ac:dyDescent="0.25">
      <c r="A434" s="27">
        <v>808819.02</v>
      </c>
      <c r="B434" s="27">
        <v>1326188.8600000001</v>
      </c>
      <c r="C434" s="27">
        <v>1977365.2</v>
      </c>
    </row>
    <row r="435" spans="1:3" x14ac:dyDescent="0.25">
      <c r="A435" s="27">
        <v>424433.53</v>
      </c>
      <c r="B435" s="27">
        <v>2017787.5</v>
      </c>
      <c r="C435" s="27">
        <v>1163964.17</v>
      </c>
    </row>
    <row r="436" spans="1:3" x14ac:dyDescent="0.25">
      <c r="A436" s="27">
        <v>2898049.33</v>
      </c>
      <c r="B436" s="27">
        <v>1899259.97</v>
      </c>
      <c r="C436" s="27">
        <v>1053251.77</v>
      </c>
    </row>
    <row r="437" spans="1:3" x14ac:dyDescent="0.25">
      <c r="A437" s="27">
        <v>1863695.45</v>
      </c>
      <c r="B437" s="27">
        <v>2703036.37</v>
      </c>
      <c r="C437" s="27">
        <v>2594528.7599999998</v>
      </c>
    </row>
    <row r="438" spans="1:3" x14ac:dyDescent="0.25">
      <c r="A438" s="27">
        <v>1075746.99</v>
      </c>
      <c r="B438" s="27">
        <v>3167454.91</v>
      </c>
      <c r="C438" s="27">
        <v>3634589.62</v>
      </c>
    </row>
    <row r="439" spans="1:3" x14ac:dyDescent="0.25">
      <c r="A439" s="27">
        <v>4663503.5599999996</v>
      </c>
      <c r="B439" s="27">
        <v>907487.8</v>
      </c>
      <c r="C439" s="27">
        <v>1091586.05</v>
      </c>
    </row>
    <row r="440" spans="1:3" x14ac:dyDescent="0.25">
      <c r="A440" s="27">
        <v>776391.64</v>
      </c>
      <c r="B440" s="27">
        <v>3386726.25</v>
      </c>
      <c r="C440" s="27">
        <v>4184849.61</v>
      </c>
    </row>
    <row r="441" spans="1:3" x14ac:dyDescent="0.25">
      <c r="A441" s="27">
        <v>2255298.96</v>
      </c>
      <c r="B441" s="27">
        <v>2216077.3199999998</v>
      </c>
      <c r="C441" s="27">
        <v>1667286.7</v>
      </c>
    </row>
    <row r="442" spans="1:3" x14ac:dyDescent="0.25">
      <c r="A442" s="27">
        <v>699617.04</v>
      </c>
      <c r="B442" s="27">
        <v>2934332.82</v>
      </c>
      <c r="C442" s="27">
        <v>3183832.73</v>
      </c>
    </row>
    <row r="443" spans="1:3" x14ac:dyDescent="0.25">
      <c r="A443" s="27">
        <v>60480461.049999997</v>
      </c>
      <c r="B443" s="27">
        <v>1595188.76</v>
      </c>
      <c r="C443" s="27">
        <v>2774938.85</v>
      </c>
    </row>
    <row r="444" spans="1:3" x14ac:dyDescent="0.25">
      <c r="A444" s="27">
        <v>6245275.3399999999</v>
      </c>
      <c r="B444" s="27">
        <v>56280470.219999999</v>
      </c>
      <c r="C444" s="27">
        <v>55870935.25</v>
      </c>
    </row>
    <row r="445" spans="1:3" x14ac:dyDescent="0.25">
      <c r="A445" s="27">
        <v>1409493.43</v>
      </c>
      <c r="B445" s="27">
        <v>8810214.6799999997</v>
      </c>
      <c r="C445" s="27">
        <v>15686251.109999999</v>
      </c>
    </row>
    <row r="446" spans="1:3" x14ac:dyDescent="0.25">
      <c r="A446" s="27">
        <v>3493630.22</v>
      </c>
      <c r="B446" s="27">
        <v>4796430.42</v>
      </c>
      <c r="C446" s="27">
        <v>2782583.59</v>
      </c>
    </row>
    <row r="447" spans="1:3" x14ac:dyDescent="0.25">
      <c r="A447" s="27">
        <v>992785.68</v>
      </c>
      <c r="B447" s="27">
        <v>3438638.56</v>
      </c>
      <c r="C447" s="27">
        <v>2664356.65</v>
      </c>
    </row>
    <row r="448" spans="1:3" x14ac:dyDescent="0.25">
      <c r="A448" s="27">
        <v>271349.65000000002</v>
      </c>
      <c r="B448" s="27">
        <v>1668468.83</v>
      </c>
      <c r="C448" s="27">
        <v>2353305.87</v>
      </c>
    </row>
    <row r="449" spans="1:3" x14ac:dyDescent="0.25">
      <c r="A449" s="27">
        <v>1903618.61</v>
      </c>
      <c r="B449" s="27">
        <v>502692.12</v>
      </c>
      <c r="C449" s="27">
        <v>1213319.77</v>
      </c>
    </row>
    <row r="450" spans="1:3" x14ac:dyDescent="0.25">
      <c r="A450" s="27">
        <v>1738317.73</v>
      </c>
      <c r="B450" s="27">
        <v>493007.54</v>
      </c>
      <c r="C450" s="27">
        <v>3207149.62</v>
      </c>
    </row>
    <row r="451" spans="1:3" x14ac:dyDescent="0.25">
      <c r="A451" s="27">
        <v>2310248.2200000002</v>
      </c>
      <c r="B451" s="27">
        <v>1588533.56</v>
      </c>
      <c r="C451" s="27">
        <v>3805263.75</v>
      </c>
    </row>
    <row r="452" spans="1:3" x14ac:dyDescent="0.25">
      <c r="A452" s="27">
        <v>832386.31</v>
      </c>
      <c r="B452" s="27">
        <v>1606248.06</v>
      </c>
      <c r="C452" s="27">
        <v>2304910.38</v>
      </c>
    </row>
    <row r="453" spans="1:3" x14ac:dyDescent="0.25">
      <c r="A453" s="27">
        <v>435561.16</v>
      </c>
      <c r="B453" s="27">
        <v>1127502.1499999999</v>
      </c>
      <c r="C453" s="27">
        <v>2763915.6</v>
      </c>
    </row>
    <row r="454" spans="1:3" x14ac:dyDescent="0.25">
      <c r="A454" s="27">
        <v>88638.57</v>
      </c>
      <c r="B454" s="27">
        <v>140411.20000000001</v>
      </c>
      <c r="C454" s="27">
        <v>1711819.94</v>
      </c>
    </row>
    <row r="455" spans="1:3" x14ac:dyDescent="0.25">
      <c r="A455" s="27">
        <v>4026463.97</v>
      </c>
      <c r="B455" s="27">
        <v>682902.54</v>
      </c>
      <c r="C455" s="27">
        <v>1977008.23</v>
      </c>
    </row>
    <row r="456" spans="1:3" x14ac:dyDescent="0.25">
      <c r="A456" s="27">
        <v>3412227.31</v>
      </c>
      <c r="B456" s="27">
        <v>7013376.3600000003</v>
      </c>
      <c r="C456" s="27">
        <v>4632266.7699999996</v>
      </c>
    </row>
    <row r="457" spans="1:3" x14ac:dyDescent="0.25">
      <c r="A457" s="27">
        <v>4214208</v>
      </c>
      <c r="B457" s="27">
        <v>3280286.83</v>
      </c>
      <c r="C457" s="27">
        <v>3890267.5</v>
      </c>
    </row>
    <row r="458" spans="1:3" x14ac:dyDescent="0.25">
      <c r="A458" s="27">
        <v>1352989.29</v>
      </c>
      <c r="B458" s="27">
        <v>2141034</v>
      </c>
      <c r="C458" s="27">
        <v>4169822</v>
      </c>
    </row>
    <row r="459" spans="1:3" x14ac:dyDescent="0.25">
      <c r="A459" s="27">
        <v>1636316.68</v>
      </c>
      <c r="B459" s="27">
        <v>1550170.62</v>
      </c>
      <c r="C459" s="27">
        <v>2305846.42</v>
      </c>
    </row>
    <row r="460" spans="1:3" x14ac:dyDescent="0.25">
      <c r="A460" s="27">
        <v>1461625.71</v>
      </c>
      <c r="B460" s="27">
        <v>2045951.62</v>
      </c>
      <c r="C460" s="27">
        <v>1121125.8400000001</v>
      </c>
    </row>
    <row r="461" spans="1:3" x14ac:dyDescent="0.25">
      <c r="A461" s="27">
        <v>1536597</v>
      </c>
      <c r="B461" s="27">
        <v>2275404.33</v>
      </c>
      <c r="C461" s="27">
        <v>1369647.89</v>
      </c>
    </row>
    <row r="462" spans="1:3" x14ac:dyDescent="0.25">
      <c r="A462" s="27">
        <v>1746577.93</v>
      </c>
      <c r="B462" s="27">
        <v>2917963</v>
      </c>
      <c r="C462" s="27">
        <v>2026143</v>
      </c>
    </row>
    <row r="463" spans="1:3" x14ac:dyDescent="0.25">
      <c r="A463" s="27">
        <v>14126518.119999999</v>
      </c>
      <c r="B463" s="27">
        <v>1782761.67</v>
      </c>
      <c r="C463" s="27">
        <v>2562593.2400000002</v>
      </c>
    </row>
    <row r="464" spans="1:3" x14ac:dyDescent="0.25">
      <c r="A464" s="27">
        <v>13263930.869999999</v>
      </c>
      <c r="B464" s="27">
        <v>15398864.98</v>
      </c>
      <c r="C464" s="27">
        <v>25429287.91</v>
      </c>
    </row>
    <row r="465" spans="1:3" x14ac:dyDescent="0.25">
      <c r="A465" s="27">
        <v>8431475.8100000005</v>
      </c>
      <c r="B465" s="27">
        <v>18898861.32</v>
      </c>
      <c r="C465" s="27">
        <v>26573113.649999999</v>
      </c>
    </row>
    <row r="466" spans="1:3" x14ac:dyDescent="0.25">
      <c r="A466" s="27">
        <v>3241471.44</v>
      </c>
      <c r="B466" s="27">
        <v>7489720.0099999998</v>
      </c>
      <c r="C466" s="27">
        <v>7162542.1500000004</v>
      </c>
    </row>
    <row r="467" spans="1:3" x14ac:dyDescent="0.25">
      <c r="A467" s="27">
        <v>1437190.8</v>
      </c>
      <c r="B467" s="27">
        <v>3233131.88</v>
      </c>
      <c r="C467" s="27">
        <v>3954989.56</v>
      </c>
    </row>
    <row r="468" spans="1:3" x14ac:dyDescent="0.25">
      <c r="A468" s="27">
        <v>2334750.15</v>
      </c>
      <c r="B468" s="27">
        <v>1611205.17</v>
      </c>
      <c r="C468" s="27">
        <v>2679683.9500000002</v>
      </c>
    </row>
    <row r="469" spans="1:3" x14ac:dyDescent="0.25">
      <c r="A469" s="27">
        <v>2087175.62</v>
      </c>
      <c r="B469" s="27">
        <v>2807671.25</v>
      </c>
      <c r="C469" s="27">
        <v>1579188.07</v>
      </c>
    </row>
    <row r="470" spans="1:3" x14ac:dyDescent="0.25">
      <c r="A470" s="27">
        <v>844893.44</v>
      </c>
      <c r="B470" s="27">
        <v>861102.86</v>
      </c>
      <c r="C470" s="27">
        <v>1330739.92</v>
      </c>
    </row>
    <row r="471" spans="1:3" x14ac:dyDescent="0.25">
      <c r="A471" s="27">
        <v>490618.07</v>
      </c>
      <c r="B471" s="27">
        <v>1567467.17</v>
      </c>
      <c r="C471" s="27">
        <v>1662457.22</v>
      </c>
    </row>
    <row r="472" spans="1:3" x14ac:dyDescent="0.25">
      <c r="A472" s="27">
        <v>6447955.6900000004</v>
      </c>
      <c r="B472" s="27">
        <v>0</v>
      </c>
      <c r="C472" s="27">
        <v>4589464.21</v>
      </c>
    </row>
    <row r="473" spans="1:3" x14ac:dyDescent="0.25">
      <c r="A473" s="27">
        <v>1049390.24</v>
      </c>
      <c r="B473" s="27">
        <v>8612782.5099999998</v>
      </c>
      <c r="C473" s="27">
        <v>2465838.58</v>
      </c>
    </row>
    <row r="474" spans="1:3" x14ac:dyDescent="0.25">
      <c r="A474" s="27">
        <v>1262385.1399999999</v>
      </c>
      <c r="B474" s="27">
        <v>1150723.8899999999</v>
      </c>
      <c r="C474" s="27">
        <v>2033982.96</v>
      </c>
    </row>
    <row r="475" spans="1:3" x14ac:dyDescent="0.25">
      <c r="A475" s="27">
        <v>1421877.22</v>
      </c>
      <c r="B475" s="27">
        <v>1182173.6399999999</v>
      </c>
      <c r="C475" s="27">
        <v>1685359.34</v>
      </c>
    </row>
    <row r="476" spans="1:3" x14ac:dyDescent="0.25">
      <c r="A476" s="27">
        <v>1004220.41</v>
      </c>
      <c r="B476" s="27">
        <v>1912455.12</v>
      </c>
      <c r="C476" s="27">
        <v>604021.27</v>
      </c>
    </row>
    <row r="477" spans="1:3" x14ac:dyDescent="0.25">
      <c r="A477" s="27">
        <v>2266695.67</v>
      </c>
      <c r="B477" s="27">
        <v>344123.23</v>
      </c>
      <c r="C477" s="27">
        <v>1397912.89</v>
      </c>
    </row>
    <row r="478" spans="1:3" x14ac:dyDescent="0.25">
      <c r="A478" s="27">
        <v>929160.18</v>
      </c>
      <c r="B478" s="27">
        <v>2980332.53</v>
      </c>
      <c r="C478" s="27">
        <v>1306410.6399999999</v>
      </c>
    </row>
    <row r="479" spans="1:3" x14ac:dyDescent="0.25">
      <c r="A479" s="27">
        <v>3169123.07</v>
      </c>
      <c r="B479" s="27">
        <v>1010812.64</v>
      </c>
      <c r="C479" s="27">
        <v>1735968.85</v>
      </c>
    </row>
    <row r="480" spans="1:3" x14ac:dyDescent="0.25">
      <c r="A480" s="27">
        <v>2619397.7999999998</v>
      </c>
      <c r="B480" s="27">
        <v>1697131.77</v>
      </c>
      <c r="C480" s="27">
        <v>3427209.86</v>
      </c>
    </row>
    <row r="481" spans="1:3" x14ac:dyDescent="0.25">
      <c r="A481" s="27">
        <v>10006858.85</v>
      </c>
      <c r="B481" s="27">
        <v>3084879.44</v>
      </c>
      <c r="C481" s="27">
        <v>4774997.88</v>
      </c>
    </row>
    <row r="482" spans="1:3" x14ac:dyDescent="0.25">
      <c r="A482" s="27">
        <v>1331267</v>
      </c>
      <c r="B482" s="27">
        <v>5928360.1600000001</v>
      </c>
      <c r="C482" s="27">
        <v>823338.63</v>
      </c>
    </row>
    <row r="483" spans="1:3" x14ac:dyDescent="0.25">
      <c r="A483" s="27">
        <v>3910301.29</v>
      </c>
      <c r="B483" s="27">
        <v>1099953.5</v>
      </c>
      <c r="C483" s="27">
        <v>3923804.02</v>
      </c>
    </row>
    <row r="484" spans="1:3" x14ac:dyDescent="0.25">
      <c r="A484" s="27">
        <v>6125862.6100000003</v>
      </c>
      <c r="B484" s="27">
        <v>5372704.4800000004</v>
      </c>
      <c r="C484" s="27">
        <v>3586579.8</v>
      </c>
    </row>
    <row r="485" spans="1:3" x14ac:dyDescent="0.25">
      <c r="A485" s="27">
        <v>1642258.91</v>
      </c>
      <c r="B485" s="27">
        <v>3043775.61</v>
      </c>
      <c r="C485" s="27">
        <v>1242135.0900000001</v>
      </c>
    </row>
    <row r="486" spans="1:3" x14ac:dyDescent="0.25">
      <c r="A486" s="27">
        <v>8014470.79</v>
      </c>
      <c r="B486" s="27">
        <v>2338565.5099999998</v>
      </c>
      <c r="C486" s="27">
        <v>13477585.5</v>
      </c>
    </row>
    <row r="487" spans="1:3" x14ac:dyDescent="0.25">
      <c r="A487" s="27">
        <v>1292428.04</v>
      </c>
      <c r="B487" s="27">
        <v>5283296.21</v>
      </c>
      <c r="C487" s="27">
        <v>3476491</v>
      </c>
    </row>
    <row r="488" spans="1:3" x14ac:dyDescent="0.25">
      <c r="A488" s="27">
        <v>2771492.82</v>
      </c>
      <c r="B488" s="27">
        <v>1895313.81</v>
      </c>
      <c r="C488" s="27">
        <v>2692122.56</v>
      </c>
    </row>
    <row r="489" spans="1:3" x14ac:dyDescent="0.25">
      <c r="A489" s="27">
        <v>1404923.58</v>
      </c>
      <c r="B489" s="27">
        <v>2432834.3199999998</v>
      </c>
      <c r="C489" s="27">
        <v>1583592.46</v>
      </c>
    </row>
    <row r="490" spans="1:3" x14ac:dyDescent="0.25">
      <c r="A490" s="27">
        <v>3768359.66</v>
      </c>
      <c r="B490" s="27">
        <v>709155.6</v>
      </c>
      <c r="C490" s="27">
        <v>4806721.71</v>
      </c>
    </row>
    <row r="491" spans="1:3" x14ac:dyDescent="0.25">
      <c r="A491" s="27">
        <v>4466344.3099999996</v>
      </c>
      <c r="B491" s="27">
        <v>2976448.32</v>
      </c>
      <c r="C491" s="27">
        <v>2124655.64</v>
      </c>
    </row>
    <row r="492" spans="1:3" x14ac:dyDescent="0.25">
      <c r="A492" s="27">
        <v>8955123.6099999994</v>
      </c>
      <c r="B492" s="27">
        <v>1280568.3899999999</v>
      </c>
      <c r="C492" s="27">
        <v>6458691.1100000003</v>
      </c>
    </row>
    <row r="493" spans="1:3" x14ac:dyDescent="0.25">
      <c r="A493" s="27">
        <v>1790337.76</v>
      </c>
      <c r="B493" s="27">
        <v>10680581.32</v>
      </c>
      <c r="C493" s="27">
        <v>2776372.5</v>
      </c>
    </row>
    <row r="494" spans="1:3" x14ac:dyDescent="0.25">
      <c r="A494" s="27">
        <v>2919291.14</v>
      </c>
      <c r="B494" s="27">
        <v>1566467.03</v>
      </c>
      <c r="C494" s="27">
        <v>3768287.11</v>
      </c>
    </row>
    <row r="495" spans="1:3" x14ac:dyDescent="0.25">
      <c r="A495" s="27">
        <v>1009498.24</v>
      </c>
      <c r="B495" s="27">
        <v>2395292.9700000002</v>
      </c>
      <c r="C495" s="27">
        <v>1397571.71</v>
      </c>
    </row>
    <row r="496" spans="1:3" x14ac:dyDescent="0.25">
      <c r="A496" s="27">
        <v>12124997.07</v>
      </c>
      <c r="B496" s="27">
        <v>2693596.88</v>
      </c>
      <c r="C496" s="27">
        <v>8857803.0500000007</v>
      </c>
    </row>
    <row r="497" spans="1:3" x14ac:dyDescent="0.25">
      <c r="A497" s="27">
        <v>4631881.26</v>
      </c>
      <c r="B497" s="27">
        <v>11232009.48</v>
      </c>
      <c r="C497" s="27">
        <v>16273767.41</v>
      </c>
    </row>
    <row r="498" spans="1:3" x14ac:dyDescent="0.25">
      <c r="A498" s="27">
        <v>3311832.87</v>
      </c>
      <c r="B498" s="27">
        <v>8683633</v>
      </c>
      <c r="C498" s="27">
        <v>1026782.18</v>
      </c>
    </row>
    <row r="499" spans="1:3" x14ac:dyDescent="0.25">
      <c r="A499" s="27">
        <v>1029786.27</v>
      </c>
      <c r="B499" s="27">
        <v>2418814.35</v>
      </c>
      <c r="C499" s="27">
        <v>1002525.06</v>
      </c>
    </row>
    <row r="500" spans="1:3" x14ac:dyDescent="0.25">
      <c r="A500" s="27">
        <v>2034935.19</v>
      </c>
      <c r="B500" s="27">
        <v>1431736.59</v>
      </c>
      <c r="C500" s="27">
        <v>2115257.54</v>
      </c>
    </row>
    <row r="501" spans="1:3" x14ac:dyDescent="0.25">
      <c r="A501" s="27">
        <v>6597198.2599999998</v>
      </c>
      <c r="B501" s="27">
        <v>2746613.53</v>
      </c>
      <c r="C501" s="27">
        <v>6092859.8499999996</v>
      </c>
    </row>
    <row r="502" spans="1:3" x14ac:dyDescent="0.25">
      <c r="A502" s="27">
        <v>6125156.9199999999</v>
      </c>
      <c r="B502" s="27">
        <v>6932307.7999999998</v>
      </c>
      <c r="C502" s="27">
        <v>2360977.1</v>
      </c>
    </row>
    <row r="503" spans="1:3" x14ac:dyDescent="0.25">
      <c r="A503" s="27">
        <v>1566919.03</v>
      </c>
      <c r="B503" s="27">
        <v>4565814.3600000003</v>
      </c>
      <c r="C503" s="27">
        <v>994458.57</v>
      </c>
    </row>
    <row r="504" spans="1:3" x14ac:dyDescent="0.25">
      <c r="A504" s="27">
        <v>2932354.51</v>
      </c>
      <c r="B504" s="27">
        <v>1794012.49</v>
      </c>
      <c r="C504" s="27">
        <v>3634138.74</v>
      </c>
    </row>
    <row r="505" spans="1:3" x14ac:dyDescent="0.25">
      <c r="A505" s="27">
        <v>5020222.3899999997</v>
      </c>
      <c r="B505" s="27">
        <v>2882537.94</v>
      </c>
      <c r="C505" s="27">
        <v>4089179.36</v>
      </c>
    </row>
    <row r="506" spans="1:3" x14ac:dyDescent="0.25">
      <c r="A506" s="27">
        <v>2745532.06</v>
      </c>
      <c r="B506" s="27">
        <v>3868830.17</v>
      </c>
      <c r="C506" s="27">
        <v>7647623.8799999999</v>
      </c>
    </row>
    <row r="507" spans="1:3" x14ac:dyDescent="0.25">
      <c r="A507" s="27">
        <v>539436.72</v>
      </c>
      <c r="B507" s="27">
        <v>3124187.76</v>
      </c>
      <c r="C507" s="27">
        <v>4489567.3099999996</v>
      </c>
    </row>
    <row r="508" spans="1:3" x14ac:dyDescent="0.25">
      <c r="A508" s="27">
        <v>1668029.06</v>
      </c>
      <c r="B508" s="27">
        <v>2108462</v>
      </c>
      <c r="C508" s="27">
        <v>1462134.81</v>
      </c>
    </row>
    <row r="509" spans="1:3" x14ac:dyDescent="0.25">
      <c r="A509" s="27">
        <v>1106926.33</v>
      </c>
      <c r="B509" s="27">
        <v>3553060.55</v>
      </c>
      <c r="C509" s="27">
        <v>3295736.91</v>
      </c>
    </row>
    <row r="510" spans="1:3" x14ac:dyDescent="0.25">
      <c r="A510" s="27">
        <v>2778836.14</v>
      </c>
      <c r="B510" s="27">
        <v>872100.03</v>
      </c>
      <c r="C510" s="27">
        <v>1708259.95</v>
      </c>
    </row>
    <row r="511" spans="1:3" x14ac:dyDescent="0.25">
      <c r="A511" s="27">
        <v>2995111.58</v>
      </c>
      <c r="B511" s="27">
        <v>1653213.35</v>
      </c>
      <c r="C511" s="27">
        <v>3345715.52</v>
      </c>
    </row>
    <row r="512" spans="1:3" x14ac:dyDescent="0.25">
      <c r="A512" s="27">
        <v>2802834.45</v>
      </c>
      <c r="B512" s="27">
        <v>3273648.63</v>
      </c>
      <c r="C512" s="27">
        <v>5036784.18</v>
      </c>
    </row>
    <row r="513" spans="1:3" x14ac:dyDescent="0.25">
      <c r="A513" s="27">
        <v>1004149.27</v>
      </c>
      <c r="B513" s="27">
        <v>4975588.66</v>
      </c>
      <c r="C513" s="27">
        <v>2085030.48</v>
      </c>
    </row>
    <row r="514" spans="1:3" x14ac:dyDescent="0.25">
      <c r="A514" s="27">
        <v>763147.26</v>
      </c>
      <c r="B514" s="27">
        <v>1007286.68</v>
      </c>
      <c r="C514" s="27">
        <v>864010.3</v>
      </c>
    </row>
    <row r="515" spans="1:3" x14ac:dyDescent="0.25">
      <c r="A515" s="27">
        <v>637116.15</v>
      </c>
      <c r="B515" s="27">
        <v>1098012.5900000001</v>
      </c>
      <c r="C515" s="27">
        <v>1014335.58</v>
      </c>
    </row>
    <row r="516" spans="1:3" x14ac:dyDescent="0.25">
      <c r="A516" s="27">
        <v>509923.49</v>
      </c>
      <c r="B516" s="27">
        <v>960258.66</v>
      </c>
      <c r="C516" s="27">
        <v>695395.8</v>
      </c>
    </row>
    <row r="517" spans="1:3" x14ac:dyDescent="0.25">
      <c r="A517" s="27">
        <v>13881645.51</v>
      </c>
      <c r="B517" s="27">
        <v>2838039.29</v>
      </c>
      <c r="C517" s="27">
        <v>815951.7</v>
      </c>
    </row>
    <row r="518" spans="1:3" x14ac:dyDescent="0.25">
      <c r="A518" s="27">
        <v>11447526.59</v>
      </c>
      <c r="B518" s="27">
        <v>509937.7</v>
      </c>
      <c r="C518" s="27">
        <v>17003476.899999999</v>
      </c>
    </row>
    <row r="519" spans="1:3" x14ac:dyDescent="0.25">
      <c r="A519" s="27">
        <v>7870518.5300000003</v>
      </c>
      <c r="B519" s="27">
        <v>20880979.789999999</v>
      </c>
      <c r="C519" s="27">
        <v>12327166.1</v>
      </c>
    </row>
    <row r="520" spans="1:3" x14ac:dyDescent="0.25">
      <c r="A520" s="27">
        <v>1744403.23</v>
      </c>
      <c r="B520" s="27">
        <v>15138245.27</v>
      </c>
      <c r="C520" s="27">
        <v>3208059.67</v>
      </c>
    </row>
    <row r="521" spans="1:3" x14ac:dyDescent="0.25">
      <c r="A521" s="27">
        <v>2875377.99</v>
      </c>
      <c r="B521" s="27">
        <v>3015941.61</v>
      </c>
      <c r="C521" s="27">
        <v>1112353.3899999999</v>
      </c>
    </row>
    <row r="522" spans="1:3" x14ac:dyDescent="0.25">
      <c r="A522" s="27">
        <v>2895793.63</v>
      </c>
      <c r="B522" s="27">
        <v>1566064.13</v>
      </c>
      <c r="C522" s="27">
        <v>2482048.63</v>
      </c>
    </row>
    <row r="523" spans="1:3" x14ac:dyDescent="0.25">
      <c r="A523" s="27">
        <v>17982411.780000001</v>
      </c>
      <c r="B523" s="27">
        <v>1853268.48</v>
      </c>
      <c r="C523" s="27">
        <v>1926071.56</v>
      </c>
    </row>
    <row r="524" spans="1:3" x14ac:dyDescent="0.25">
      <c r="A524" s="27">
        <v>7988272.75</v>
      </c>
      <c r="B524" s="27">
        <v>1151274</v>
      </c>
      <c r="C524" s="27">
        <v>30357362.879999999</v>
      </c>
    </row>
    <row r="525" spans="1:3" x14ac:dyDescent="0.25">
      <c r="A525" s="27">
        <v>4807890.2300000004</v>
      </c>
      <c r="B525" s="27">
        <v>15328574.539999999</v>
      </c>
      <c r="C525" s="27">
        <v>5232063.9400000004</v>
      </c>
    </row>
    <row r="526" spans="1:3" x14ac:dyDescent="0.25">
      <c r="A526" s="27">
        <v>1589403.54</v>
      </c>
      <c r="B526" s="27">
        <v>8172637.0599999996</v>
      </c>
      <c r="C526" s="27">
        <v>6391622.0700000003</v>
      </c>
    </row>
    <row r="527" spans="1:3" x14ac:dyDescent="0.25">
      <c r="A527" s="27">
        <v>1894881.22</v>
      </c>
      <c r="B527" s="27">
        <v>7656845.9000000004</v>
      </c>
      <c r="C527" s="27">
        <v>2039794.14</v>
      </c>
    </row>
    <row r="528" spans="1:3" x14ac:dyDescent="0.25">
      <c r="A528" s="27">
        <v>21614003.030000001</v>
      </c>
      <c r="B528" s="27">
        <v>1660020.04</v>
      </c>
      <c r="C528" s="27">
        <v>2141200.16</v>
      </c>
    </row>
    <row r="529" spans="1:3" x14ac:dyDescent="0.25">
      <c r="A529" s="27">
        <v>2757772.6</v>
      </c>
      <c r="B529" s="27">
        <v>1125432.19</v>
      </c>
      <c r="C529" s="27">
        <v>23610337.129999999</v>
      </c>
    </row>
    <row r="530" spans="1:3" x14ac:dyDescent="0.25">
      <c r="A530" s="27">
        <v>1817754.18</v>
      </c>
      <c r="B530" s="27">
        <v>15467484.42</v>
      </c>
      <c r="C530" s="27">
        <v>3665431.38</v>
      </c>
    </row>
    <row r="531" spans="1:3" x14ac:dyDescent="0.25">
      <c r="A531" s="27">
        <v>1322685.8799999999</v>
      </c>
      <c r="B531" s="27">
        <v>1357830.17</v>
      </c>
      <c r="C531" s="27">
        <v>1363234.74</v>
      </c>
    </row>
    <row r="532" spans="1:3" x14ac:dyDescent="0.25">
      <c r="A532" s="27">
        <v>2114552.79</v>
      </c>
      <c r="B532" s="27">
        <v>483973.36</v>
      </c>
      <c r="C532" s="27">
        <v>2087015.87</v>
      </c>
    </row>
    <row r="533" spans="1:3" x14ac:dyDescent="0.25">
      <c r="A533" s="27">
        <v>942192.02</v>
      </c>
      <c r="B533" s="27">
        <v>2206167</v>
      </c>
      <c r="C533" s="27">
        <v>2215115.81</v>
      </c>
    </row>
    <row r="534" spans="1:3" x14ac:dyDescent="0.25">
      <c r="A534" s="27">
        <v>1294701.46</v>
      </c>
      <c r="B534" s="27">
        <v>2965057.85</v>
      </c>
      <c r="C534" s="27">
        <v>1894686.24</v>
      </c>
    </row>
    <row r="535" spans="1:3" x14ac:dyDescent="0.25">
      <c r="A535" s="27">
        <v>2598388.21</v>
      </c>
      <c r="B535" s="27">
        <v>1001402.31</v>
      </c>
      <c r="C535" s="27">
        <v>1039053.5</v>
      </c>
    </row>
    <row r="536" spans="1:3" x14ac:dyDescent="0.25">
      <c r="A536" s="27">
        <v>1561866.73</v>
      </c>
      <c r="B536" s="27">
        <v>1935482.22</v>
      </c>
      <c r="C536" s="27">
        <v>2475003.9500000002</v>
      </c>
    </row>
    <row r="537" spans="1:3" x14ac:dyDescent="0.25">
      <c r="A537" s="27">
        <v>1722949.84</v>
      </c>
      <c r="B537" s="27">
        <v>1960581.58</v>
      </c>
      <c r="C537" s="27">
        <v>3466178.06</v>
      </c>
    </row>
    <row r="538" spans="1:3" x14ac:dyDescent="0.25">
      <c r="A538" s="27">
        <v>2202249.17</v>
      </c>
      <c r="B538" s="27">
        <v>2453552.4300000002</v>
      </c>
      <c r="C538" s="27">
        <v>2539915.7400000002</v>
      </c>
    </row>
    <row r="539" spans="1:3" x14ac:dyDescent="0.25">
      <c r="A539" s="27">
        <v>2479413.41</v>
      </c>
      <c r="B539" s="27">
        <v>1528230.62</v>
      </c>
      <c r="C539" s="27">
        <v>1082195.6200000001</v>
      </c>
    </row>
    <row r="540" spans="1:3" x14ac:dyDescent="0.25">
      <c r="A540" s="27">
        <v>2339067.58</v>
      </c>
      <c r="B540" s="27">
        <v>886326.91</v>
      </c>
      <c r="C540" s="27">
        <v>4117262.86</v>
      </c>
    </row>
    <row r="541" spans="1:3" x14ac:dyDescent="0.25">
      <c r="B541" s="27">
        <v>2379743.2200000002</v>
      </c>
      <c r="C541" s="27">
        <v>5334502.3600000003</v>
      </c>
    </row>
    <row r="542" spans="1:3" x14ac:dyDescent="0.25">
      <c r="B542" s="27">
        <v>7496267.0199999996</v>
      </c>
    </row>
    <row r="544" spans="1:3" x14ac:dyDescent="0.25">
      <c r="B544" s="28"/>
    </row>
    <row r="545" spans="1:3" x14ac:dyDescent="0.25">
      <c r="A545" s="26">
        <f>SUM(A48:A540)</f>
        <v>2236642949.6500015</v>
      </c>
      <c r="B545" s="28">
        <f>SUM(B48:B542)</f>
        <v>2518798198.6000009</v>
      </c>
      <c r="C545" s="26">
        <f>SUM(C48:C541)</f>
        <v>2931328635.4199996</v>
      </c>
    </row>
  </sheetData>
  <mergeCells count="1">
    <mergeCell ref="F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71E6-7A6A-4C92-934E-246E66DADFC3}">
  <dimension ref="A1:T56"/>
  <sheetViews>
    <sheetView workbookViewId="0">
      <selection activeCell="E30" sqref="E30"/>
    </sheetView>
  </sheetViews>
  <sheetFormatPr defaultRowHeight="15" x14ac:dyDescent="0.25"/>
  <cols>
    <col min="1" max="1" width="16" customWidth="1"/>
    <col min="2" max="4" width="18.7109375" bestFit="1" customWidth="1"/>
    <col min="5" max="5" width="21" bestFit="1" customWidth="1"/>
    <col min="6" max="6" width="14" customWidth="1"/>
    <col min="7" max="7" width="21.5703125" bestFit="1" customWidth="1"/>
    <col min="8" max="10" width="16.5703125" bestFit="1" customWidth="1"/>
    <col min="11" max="11" width="14" customWidth="1"/>
    <col min="12" max="12" width="4.140625" customWidth="1"/>
    <col min="13" max="13" width="21.85546875" bestFit="1" customWidth="1"/>
    <col min="14" max="14" width="9" bestFit="1" customWidth="1"/>
    <col min="15" max="15" width="21.85546875" bestFit="1" customWidth="1"/>
    <col min="16" max="16" width="14" bestFit="1" customWidth="1"/>
    <col min="17" max="17" width="21.85546875" bestFit="1" customWidth="1"/>
    <col min="18" max="18" width="6" bestFit="1" customWidth="1"/>
    <col min="19" max="19" width="17.7109375" bestFit="1" customWidth="1"/>
    <col min="20" max="20" width="16.7109375" bestFit="1" customWidth="1"/>
  </cols>
  <sheetData>
    <row r="1" spans="1:20" x14ac:dyDescent="0.25">
      <c r="B1" t="s">
        <v>0</v>
      </c>
      <c r="G1" t="s">
        <v>1</v>
      </c>
    </row>
    <row r="2" spans="1:20" x14ac:dyDescent="0.25">
      <c r="B2" t="s">
        <v>107</v>
      </c>
      <c r="C2" t="s">
        <v>108</v>
      </c>
      <c r="D2" t="s">
        <v>110</v>
      </c>
      <c r="G2" t="s">
        <v>103</v>
      </c>
      <c r="H2" t="s">
        <v>104</v>
      </c>
      <c r="I2" t="s">
        <v>105</v>
      </c>
      <c r="J2" t="s">
        <v>106</v>
      </c>
      <c r="M2" t="s">
        <v>109</v>
      </c>
      <c r="O2" t="s">
        <v>61</v>
      </c>
      <c r="R2" t="s">
        <v>111</v>
      </c>
      <c r="S2" t="s">
        <v>112</v>
      </c>
      <c r="T2" t="s">
        <v>113</v>
      </c>
    </row>
    <row r="3" spans="1:20" x14ac:dyDescent="0.25">
      <c r="A3">
        <v>2010</v>
      </c>
      <c r="G3" s="24">
        <v>17283264553.73</v>
      </c>
      <c r="H3" s="24">
        <v>1458232749.8199999</v>
      </c>
      <c r="I3" s="24">
        <v>1710178662.3099999</v>
      </c>
      <c r="J3" s="24">
        <v>1392033710.97</v>
      </c>
      <c r="M3" s="24">
        <v>5926882957</v>
      </c>
      <c r="O3" s="24">
        <v>36723722547.789993</v>
      </c>
      <c r="Q3" s="25"/>
    </row>
    <row r="4" spans="1:20" x14ac:dyDescent="0.25">
      <c r="A4">
        <v>2011</v>
      </c>
      <c r="G4" s="24">
        <v>19040822379.259998</v>
      </c>
      <c r="H4" s="24">
        <v>1631357430.5699999</v>
      </c>
      <c r="I4" s="24">
        <v>1069962237.77</v>
      </c>
      <c r="J4" s="24">
        <v>1650203916.45</v>
      </c>
      <c r="M4" s="24">
        <v>7098573823</v>
      </c>
      <c r="O4" s="24">
        <v>40819778024.400024</v>
      </c>
      <c r="Q4" s="25"/>
    </row>
    <row r="5" spans="1:20" x14ac:dyDescent="0.25">
      <c r="A5">
        <v>2012</v>
      </c>
      <c r="G5" s="24">
        <v>20730510844.610001</v>
      </c>
      <c r="H5" s="24">
        <v>1841661246.8199999</v>
      </c>
      <c r="I5" s="24">
        <v>1185990139.6199999</v>
      </c>
      <c r="J5" s="24">
        <v>1778306871.8499999</v>
      </c>
      <c r="M5" s="24">
        <v>7123523054</v>
      </c>
      <c r="O5" s="24">
        <v>45988568160.470032</v>
      </c>
      <c r="Q5" s="25"/>
    </row>
    <row r="6" spans="1:20" x14ac:dyDescent="0.25">
      <c r="A6">
        <v>2013</v>
      </c>
      <c r="G6" s="24">
        <v>23497323275.689999</v>
      </c>
      <c r="H6" s="24">
        <v>1973198290.0899999</v>
      </c>
      <c r="I6" s="24">
        <v>1411867869.52</v>
      </c>
      <c r="J6" s="24">
        <v>2172851645.71</v>
      </c>
      <c r="M6" s="24">
        <v>7481644974</v>
      </c>
      <c r="O6" s="24">
        <v>50102478024.050011</v>
      </c>
      <c r="Q6" s="25"/>
    </row>
    <row r="7" spans="1:20" x14ac:dyDescent="0.25">
      <c r="A7">
        <v>2014</v>
      </c>
      <c r="G7" s="24">
        <v>25224531053.639999</v>
      </c>
      <c r="H7" s="24">
        <v>2159114425.52</v>
      </c>
      <c r="I7" s="24">
        <v>1707706950.5899999</v>
      </c>
      <c r="J7" s="24">
        <v>2559784199.9499998</v>
      </c>
      <c r="M7" s="24">
        <v>8410816941</v>
      </c>
      <c r="O7" s="24">
        <v>55851441716.139999</v>
      </c>
      <c r="Q7" s="25"/>
    </row>
    <row r="8" spans="1:20" x14ac:dyDescent="0.25">
      <c r="A8">
        <v>2015</v>
      </c>
      <c r="G8" s="24">
        <v>26167838399.439999</v>
      </c>
      <c r="H8" s="24">
        <v>2335641755.0999999</v>
      </c>
      <c r="I8" s="24">
        <v>1724399435.9300001</v>
      </c>
      <c r="J8" s="24">
        <v>2694893908.3800001</v>
      </c>
      <c r="M8" s="24">
        <v>8786060273</v>
      </c>
      <c r="O8" s="24">
        <v>60114567337.090019</v>
      </c>
      <c r="Q8" s="25"/>
    </row>
    <row r="9" spans="1:20" x14ac:dyDescent="0.25">
      <c r="A9">
        <v>2016</v>
      </c>
      <c r="G9" s="24">
        <v>29605777408.07</v>
      </c>
      <c r="H9" s="24">
        <v>2338990452.79</v>
      </c>
      <c r="I9" s="24">
        <v>2234378419.54</v>
      </c>
      <c r="J9" s="24">
        <v>3124433665.9899998</v>
      </c>
      <c r="M9" s="24">
        <v>9959769604</v>
      </c>
      <c r="O9" s="24">
        <v>62542926969.819992</v>
      </c>
      <c r="Q9" s="25"/>
    </row>
    <row r="10" spans="1:20" x14ac:dyDescent="0.25">
      <c r="A10">
        <v>2017</v>
      </c>
      <c r="G10" s="24">
        <v>31213973645.759998</v>
      </c>
      <c r="H10" s="24">
        <v>2320589958.8299999</v>
      </c>
      <c r="I10" s="24">
        <v>2635052681.5300002</v>
      </c>
      <c r="J10" s="24">
        <v>3157562677.1500001</v>
      </c>
      <c r="M10" s="24">
        <v>9680425966</v>
      </c>
      <c r="O10" s="24">
        <v>65897465369.310043</v>
      </c>
      <c r="Q10" s="25"/>
    </row>
    <row r="11" spans="1:20" x14ac:dyDescent="0.25">
      <c r="A11">
        <v>2018</v>
      </c>
      <c r="B11" s="24">
        <v>2718590437.6000023</v>
      </c>
      <c r="C11" s="24">
        <v>3221856083.7500033</v>
      </c>
      <c r="D11" s="24">
        <v>2547163779.9499984</v>
      </c>
      <c r="G11" s="24">
        <v>33553454931.049999</v>
      </c>
      <c r="H11" s="24">
        <v>2879176651.5500002</v>
      </c>
      <c r="I11" s="24">
        <v>2742688179.8899999</v>
      </c>
      <c r="J11" s="24">
        <v>3597790379.5999999</v>
      </c>
      <c r="M11" s="24">
        <v>10255405079</v>
      </c>
      <c r="O11" s="24">
        <v>72842417888.829987</v>
      </c>
      <c r="Q11" s="25"/>
      <c r="R11" s="25">
        <f>M11/O11</f>
        <v>0.14078891635161681</v>
      </c>
      <c r="S11" s="25">
        <f>(SUM(G11:H11)+SUM(B11:C11))/O11</f>
        <v>0.58170883575856291</v>
      </c>
      <c r="T11">
        <f>(SUM(I11:J11)+SUM(D11))/O11</f>
        <v>0.12201190730659249</v>
      </c>
    </row>
    <row r="12" spans="1:20" x14ac:dyDescent="0.25">
      <c r="A12">
        <v>2019</v>
      </c>
      <c r="G12" s="26">
        <v>36528755010.989998</v>
      </c>
      <c r="H12" s="26">
        <v>3072366582.8699999</v>
      </c>
      <c r="I12" s="26">
        <v>3227974916.1799998</v>
      </c>
      <c r="J12" s="26">
        <v>3709273059.8600001</v>
      </c>
      <c r="M12" s="24">
        <v>15113156721</v>
      </c>
      <c r="O12" s="24">
        <v>75790081414.439972</v>
      </c>
      <c r="Q12" s="25"/>
    </row>
    <row r="13" spans="1:20" x14ac:dyDescent="0.25">
      <c r="A13">
        <v>2020</v>
      </c>
      <c r="G13" s="26">
        <v>36370809093.330002</v>
      </c>
      <c r="H13" s="26">
        <v>3218274776.4000001</v>
      </c>
      <c r="I13" s="26">
        <v>3282019625.71</v>
      </c>
      <c r="J13" s="26">
        <v>4394796292.6499996</v>
      </c>
      <c r="M13" s="24">
        <v>13766175656</v>
      </c>
      <c r="O13" s="24">
        <v>80869267380.790024</v>
      </c>
      <c r="Q13" s="25"/>
    </row>
    <row r="14" spans="1:20" x14ac:dyDescent="0.25">
      <c r="A14">
        <v>2021</v>
      </c>
      <c r="G14" s="26">
        <v>47560078646.389999</v>
      </c>
      <c r="H14" s="26">
        <v>3932598590.7199998</v>
      </c>
      <c r="I14" s="26">
        <v>3248300654.75</v>
      </c>
      <c r="J14" s="26">
        <v>4588361673.0100002</v>
      </c>
      <c r="M14" s="24">
        <v>17433933335</v>
      </c>
      <c r="O14" s="24">
        <v>89118654050.409988</v>
      </c>
      <c r="Q14" s="25"/>
    </row>
    <row r="15" spans="1:20" x14ac:dyDescent="0.25">
      <c r="A15">
        <v>2022</v>
      </c>
    </row>
    <row r="16" spans="1:20" x14ac:dyDescent="0.25">
      <c r="S16" s="25">
        <f>85/70</f>
        <v>1.2142857142857142</v>
      </c>
    </row>
    <row r="18" spans="1:20" x14ac:dyDescent="0.25">
      <c r="A18" t="s">
        <v>70</v>
      </c>
    </row>
    <row r="19" spans="1:20" ht="15.75" x14ac:dyDescent="0.25">
      <c r="A19" t="s">
        <v>69</v>
      </c>
      <c r="G19" s="33"/>
      <c r="H19" s="33"/>
      <c r="I19" s="33"/>
      <c r="J19" s="33"/>
      <c r="K19" s="33"/>
      <c r="L19" s="33"/>
      <c r="M19" s="33"/>
      <c r="N19" s="33"/>
      <c r="O19" s="32"/>
      <c r="S19">
        <f>S16*S11</f>
        <v>0.70636072913539782</v>
      </c>
      <c r="T19" s="31">
        <f>S16*T11</f>
        <v>0.14815731601514801</v>
      </c>
    </row>
    <row r="20" spans="1:20" x14ac:dyDescent="0.25">
      <c r="G20">
        <v>6.64</v>
      </c>
      <c r="H20">
        <v>42.3</v>
      </c>
    </row>
    <row r="22" spans="1:20" x14ac:dyDescent="0.25">
      <c r="A22" t="s">
        <v>275</v>
      </c>
      <c r="B22" t="s">
        <v>276</v>
      </c>
      <c r="C22" t="s">
        <v>277</v>
      </c>
      <c r="D22" t="s">
        <v>278</v>
      </c>
      <c r="E22" t="s">
        <v>279</v>
      </c>
    </row>
    <row r="23" spans="1:20" x14ac:dyDescent="0.25">
      <c r="A23" t="s">
        <v>79</v>
      </c>
      <c r="B23" s="24">
        <v>2279003889.1713338</v>
      </c>
      <c r="C23" s="24">
        <v>43740413457.158241</v>
      </c>
      <c r="D23" s="24">
        <v>11110924255.580833</v>
      </c>
      <c r="E23" s="24">
        <v>65000000000</v>
      </c>
      <c r="H23">
        <f>G20/(G20+H20)</f>
        <v>0.13567633837351858</v>
      </c>
    </row>
    <row r="24" spans="1:20" x14ac:dyDescent="0.25">
      <c r="B24" s="24"/>
      <c r="C24" s="24"/>
      <c r="D24" s="24"/>
      <c r="E24" s="24"/>
    </row>
    <row r="25" spans="1:20" x14ac:dyDescent="0.25">
      <c r="A25" t="s">
        <v>80</v>
      </c>
      <c r="B25" s="24">
        <v>27500000000</v>
      </c>
      <c r="C25" s="24">
        <v>4600000000</v>
      </c>
      <c r="D25" s="24">
        <v>0</v>
      </c>
      <c r="E25" s="24"/>
    </row>
    <row r="26" spans="1:20" x14ac:dyDescent="0.25">
      <c r="A26" t="s">
        <v>81</v>
      </c>
      <c r="B26" s="24">
        <v>1300000000</v>
      </c>
      <c r="C26" s="24">
        <v>634000000</v>
      </c>
      <c r="D26" s="24"/>
      <c r="E26" s="24"/>
    </row>
    <row r="27" spans="1:20" x14ac:dyDescent="0.25">
      <c r="B27" s="25">
        <v>28800000000</v>
      </c>
      <c r="C27" s="25">
        <v>5234000000</v>
      </c>
    </row>
    <row r="29" spans="1:20" x14ac:dyDescent="0.25">
      <c r="B29" s="4" t="s">
        <v>114</v>
      </c>
      <c r="C29" s="4" t="s">
        <v>115</v>
      </c>
    </row>
    <row r="30" spans="1:20" x14ac:dyDescent="0.25">
      <c r="B30">
        <f>B23/(B23+B27)</f>
        <v>7.332937366005457E-2</v>
      </c>
      <c r="C30">
        <f>C23/(C23+C27)</f>
        <v>0.89312786758378249</v>
      </c>
      <c r="E30">
        <f>5.234/42</f>
        <v>0.12461904761904762</v>
      </c>
    </row>
    <row r="32" spans="1:20" x14ac:dyDescent="0.25">
      <c r="B32" s="24">
        <v>373000000000</v>
      </c>
    </row>
    <row r="34" spans="1:5" x14ac:dyDescent="0.25">
      <c r="A34" t="s">
        <v>82</v>
      </c>
      <c r="B34">
        <v>7.7211796246648798E-2</v>
      </c>
      <c r="C34">
        <v>1.4032171581769438E-2</v>
      </c>
    </row>
    <row r="35" spans="1:5" x14ac:dyDescent="0.25">
      <c r="A35" t="s">
        <v>83</v>
      </c>
      <c r="B35">
        <v>6.1099299977783747E-3</v>
      </c>
      <c r="C35">
        <v>0.11726652401382906</v>
      </c>
      <c r="D35">
        <v>2.9788000685203306E-2</v>
      </c>
    </row>
    <row r="38" spans="1:5" x14ac:dyDescent="0.25">
      <c r="B38" t="s">
        <v>84</v>
      </c>
      <c r="C38">
        <v>7.4999999999999997E-2</v>
      </c>
    </row>
    <row r="39" spans="1:5" x14ac:dyDescent="0.25">
      <c r="B39" t="s">
        <v>85</v>
      </c>
      <c r="C39">
        <v>0.85</v>
      </c>
    </row>
    <row r="44" spans="1:5" x14ac:dyDescent="0.25">
      <c r="B44" s="24">
        <v>28503480154.539997</v>
      </c>
      <c r="C44" s="24">
        <v>31944767860.860001</v>
      </c>
      <c r="D44" s="24">
        <v>33534563604.589996</v>
      </c>
      <c r="E44" s="24">
        <v>36432631582.599998</v>
      </c>
    </row>
    <row r="45" spans="1:5" x14ac:dyDescent="0.25">
      <c r="B45">
        <v>2015</v>
      </c>
      <c r="C45">
        <v>2016</v>
      </c>
      <c r="D45">
        <v>2017</v>
      </c>
      <c r="E45">
        <v>2018</v>
      </c>
    </row>
    <row r="48" spans="1:5" x14ac:dyDescent="0.25">
      <c r="B48" s="24"/>
      <c r="C48" s="24"/>
      <c r="D48" s="24"/>
      <c r="E48" s="24"/>
    </row>
    <row r="49" spans="2:5" x14ac:dyDescent="0.25">
      <c r="B49" s="25">
        <v>381992601117.89923</v>
      </c>
      <c r="C49" s="25">
        <v>408789528052.04535</v>
      </c>
      <c r="D49" s="25">
        <v>423270047301.93054</v>
      </c>
      <c r="E49" s="25">
        <v>457293957587.08942</v>
      </c>
    </row>
    <row r="51" spans="2:5" x14ac:dyDescent="0.25">
      <c r="B51">
        <f>B44/B49</f>
        <v>7.461788545412848E-2</v>
      </c>
      <c r="C51">
        <f>C44/C49</f>
        <v>7.8144780305607356E-2</v>
      </c>
      <c r="D51">
        <f>D44/D49</f>
        <v>7.9227348635583561E-2</v>
      </c>
      <c r="E51">
        <f>E44/E49</f>
        <v>7.9670048068941693E-2</v>
      </c>
    </row>
    <row r="53" spans="2:5" x14ac:dyDescent="0.25">
      <c r="B53" s="25">
        <f>AVERAGE(B49:E49)</f>
        <v>417836533514.74109</v>
      </c>
    </row>
    <row r="54" spans="2:5" x14ac:dyDescent="0.25">
      <c r="B54" s="25">
        <f>AVERAGE(B44:E44)</f>
        <v>32603860800.647499</v>
      </c>
    </row>
    <row r="56" spans="2:5" x14ac:dyDescent="0.25">
      <c r="B56">
        <f>B54/B53</f>
        <v>7.8030182105886275E-2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A6DC-DE4A-4408-B80A-77054BF17FA3}">
  <dimension ref="A1:W131"/>
  <sheetViews>
    <sheetView topLeftCell="A59" zoomScale="130" zoomScaleNormal="130" workbookViewId="0">
      <selection activeCell="H71" sqref="H71"/>
    </sheetView>
  </sheetViews>
  <sheetFormatPr defaultRowHeight="15" x14ac:dyDescent="0.25"/>
  <cols>
    <col min="1" max="1" width="6.28515625" bestFit="1" customWidth="1"/>
    <col min="2" max="2" width="23.28515625" bestFit="1" customWidth="1"/>
    <col min="3" max="3" width="21.85546875" bestFit="1" customWidth="1"/>
    <col min="4" max="4" width="23.28515625" bestFit="1" customWidth="1"/>
    <col min="5" max="5" width="7.7109375" bestFit="1" customWidth="1"/>
    <col min="6" max="6" width="13.5703125" customWidth="1"/>
    <col min="7" max="8" width="23.28515625" bestFit="1" customWidth="1"/>
    <col min="9" max="9" width="19.7109375" customWidth="1"/>
    <col min="10" max="10" width="17.42578125" bestFit="1" customWidth="1"/>
    <col min="11" max="11" width="20.5703125" bestFit="1" customWidth="1"/>
    <col min="12" max="12" width="17.28515625" bestFit="1" customWidth="1"/>
    <col min="13" max="13" width="21.7109375" bestFit="1" customWidth="1"/>
    <col min="14" max="14" width="23.28515625" bestFit="1" customWidth="1"/>
    <col min="15" max="15" width="15.42578125" bestFit="1" customWidth="1"/>
  </cols>
  <sheetData>
    <row r="1" spans="1:15" hidden="1" x14ac:dyDescent="0.25">
      <c r="A1" s="21" t="s">
        <v>53</v>
      </c>
      <c r="B1" t="s">
        <v>78</v>
      </c>
      <c r="C1" s="21" t="s">
        <v>231</v>
      </c>
      <c r="D1" s="21" t="s">
        <v>232</v>
      </c>
      <c r="E1" s="22" t="s">
        <v>54</v>
      </c>
      <c r="F1" s="21" t="s">
        <v>56</v>
      </c>
      <c r="G1" s="21" t="s">
        <v>57</v>
      </c>
      <c r="H1" t="s">
        <v>75</v>
      </c>
      <c r="I1" t="s">
        <v>76</v>
      </c>
      <c r="J1" t="s">
        <v>77</v>
      </c>
      <c r="K1" t="s">
        <v>67</v>
      </c>
      <c r="L1" t="s">
        <v>96</v>
      </c>
      <c r="M1" s="21" t="s">
        <v>99</v>
      </c>
      <c r="N1" s="21"/>
    </row>
    <row r="2" spans="1:15" hidden="1" x14ac:dyDescent="0.25">
      <c r="A2" s="21">
        <v>2006</v>
      </c>
      <c r="B2" s="21"/>
      <c r="C2" s="21"/>
      <c r="D2" s="21"/>
      <c r="E2" s="23">
        <v>2.6800000000000001E-2</v>
      </c>
      <c r="G2" s="21"/>
      <c r="M2" s="21"/>
      <c r="N2" s="21"/>
    </row>
    <row r="3" spans="1:15" hidden="1" x14ac:dyDescent="0.25">
      <c r="A3" s="21">
        <v>2007</v>
      </c>
      <c r="B3" s="21"/>
      <c r="C3" s="21"/>
      <c r="D3" s="21"/>
      <c r="E3" s="23">
        <v>3.7100000000000001E-2</v>
      </c>
      <c r="G3" s="21"/>
      <c r="M3" s="21"/>
      <c r="N3" s="21"/>
    </row>
    <row r="4" spans="1:15" hidden="1" x14ac:dyDescent="0.25">
      <c r="A4" s="21">
        <v>2008</v>
      </c>
      <c r="B4" s="21"/>
      <c r="C4" s="21"/>
      <c r="D4" s="21"/>
      <c r="E4" s="23">
        <v>6.5699999999999995E-2</v>
      </c>
      <c r="G4" s="21"/>
      <c r="M4" s="21"/>
      <c r="N4" s="21"/>
    </row>
    <row r="5" spans="1:15" hidden="1" x14ac:dyDescent="0.25">
      <c r="A5" s="21">
        <v>2009</v>
      </c>
      <c r="B5" s="21"/>
      <c r="C5" s="21"/>
      <c r="D5" s="21"/>
      <c r="E5" s="23">
        <v>3.7199999999999997E-2</v>
      </c>
      <c r="G5" s="21"/>
      <c r="M5" s="21"/>
      <c r="N5" s="21"/>
    </row>
    <row r="6" spans="1:15" hidden="1" x14ac:dyDescent="0.25">
      <c r="A6" s="21">
        <v>2010</v>
      </c>
      <c r="B6" s="24">
        <v>241249163902.14984</v>
      </c>
      <c r="C6" s="24">
        <v>36723722547.789993</v>
      </c>
      <c r="D6" s="24">
        <v>38220762404.479416</v>
      </c>
      <c r="E6" s="23">
        <v>5.1400000000000001E-2</v>
      </c>
      <c r="F6" s="21">
        <v>0.10355639186512522</v>
      </c>
      <c r="G6" s="21">
        <f t="shared" ref="G6:G17" si="0">(1+F6)/(1+E6)</f>
        <v>1.0496066120079182</v>
      </c>
      <c r="H6" s="24">
        <v>96993645616.247742</v>
      </c>
      <c r="I6" s="24">
        <v>76589.311108214766</v>
      </c>
      <c r="J6" s="24">
        <v>20404.334508032978</v>
      </c>
      <c r="K6" s="24">
        <v>4101123118.0900016</v>
      </c>
      <c r="L6" s="30">
        <f>'Goverment Expenditure'!F33*0.063</f>
        <v>2923846513.1561699</v>
      </c>
      <c r="M6" s="24">
        <v>5926882957</v>
      </c>
      <c r="O6" s="39"/>
    </row>
    <row r="7" spans="1:15" hidden="1" x14ac:dyDescent="0.25">
      <c r="A7" s="21">
        <v>2011</v>
      </c>
      <c r="B7" s="24">
        <v>265056416291.24561</v>
      </c>
      <c r="C7" s="24">
        <v>40819778024.400024</v>
      </c>
      <c r="D7" s="24">
        <v>41611194574.431938</v>
      </c>
      <c r="E7" s="23">
        <v>6.5299999999999997E-2</v>
      </c>
      <c r="F7" s="21">
        <v>0.12407487293629971</v>
      </c>
      <c r="G7" s="21">
        <f t="shared" si="0"/>
        <v>1.0551721326727681</v>
      </c>
      <c r="H7" s="24">
        <v>113015264809.84467</v>
      </c>
      <c r="I7" s="24">
        <v>88859.732319114672</v>
      </c>
      <c r="J7" s="24">
        <v>24155.532490729991</v>
      </c>
      <c r="K7" s="24">
        <v>3400835255.190001</v>
      </c>
      <c r="L7" s="30">
        <f>'Goverment Expenditure'!F34*0.063</f>
        <v>2871002891.2275891</v>
      </c>
      <c r="M7" s="24">
        <v>7098573823</v>
      </c>
      <c r="O7" s="39"/>
    </row>
    <row r="8" spans="1:15" hidden="1" x14ac:dyDescent="0.25">
      <c r="A8" s="21">
        <v>2012</v>
      </c>
      <c r="B8" s="24">
        <v>287587018680.02625</v>
      </c>
      <c r="C8" s="24">
        <v>45988568160.470032</v>
      </c>
      <c r="D8" s="24">
        <v>46644738747.876358</v>
      </c>
      <c r="E8" s="23">
        <v>5.5599999999999997E-2</v>
      </c>
      <c r="F8" s="21">
        <v>8.9843479877853794E-2</v>
      </c>
      <c r="G8" s="21">
        <f t="shared" si="0"/>
        <v>1.0324398255758371</v>
      </c>
      <c r="H8" s="24">
        <v>123227673929.55</v>
      </c>
      <c r="I8" s="24">
        <v>97462.667212208908</v>
      </c>
      <c r="J8" s="24">
        <v>25765.006717341097</v>
      </c>
      <c r="K8" s="24">
        <v>3912084362.0099998</v>
      </c>
      <c r="L8" s="30">
        <f>'Goverment Expenditure'!F35*0.063</f>
        <v>3249105404.8559403</v>
      </c>
      <c r="M8" s="24">
        <v>7123523054</v>
      </c>
      <c r="O8" s="39"/>
    </row>
    <row r="9" spans="1:15" hidden="1" x14ac:dyDescent="0.25">
      <c r="A9" s="21">
        <v>2013</v>
      </c>
      <c r="B9" s="24">
        <v>332292726075.39996</v>
      </c>
      <c r="C9" s="24">
        <v>50102478024.050011</v>
      </c>
      <c r="D9" s="24">
        <v>52889252084.361015</v>
      </c>
      <c r="E9" s="23">
        <v>5.79E-2</v>
      </c>
      <c r="F9" s="21">
        <v>8.6076769404959785E-2</v>
      </c>
      <c r="G9" s="21">
        <f t="shared" si="0"/>
        <v>1.0266346246383966</v>
      </c>
      <c r="H9" s="24">
        <v>141245135028.2811</v>
      </c>
      <c r="I9" s="24">
        <v>111947.72569855418</v>
      </c>
      <c r="J9" s="24">
        <v>29297.409329726932</v>
      </c>
      <c r="K9" s="24">
        <v>3437797760.7499976</v>
      </c>
      <c r="L9" s="30">
        <f>'Goverment Expenditure'!F36*0.063</f>
        <v>4035968731.5097504</v>
      </c>
      <c r="M9" s="24">
        <v>7481644974</v>
      </c>
      <c r="O9" s="39"/>
    </row>
    <row r="10" spans="1:15" hidden="1" x14ac:dyDescent="0.25">
      <c r="A10" s="21">
        <v>2014</v>
      </c>
      <c r="B10" s="24">
        <v>357816423826.50372</v>
      </c>
      <c r="C10" s="24">
        <v>55851441716.139999</v>
      </c>
      <c r="D10" s="24">
        <v>58517018371.866623</v>
      </c>
      <c r="E10" s="23">
        <v>6.7699999999999996E-2</v>
      </c>
      <c r="F10" s="21">
        <v>0.11523655426513812</v>
      </c>
      <c r="G10" s="21">
        <f t="shared" si="0"/>
        <v>1.0445223885596497</v>
      </c>
      <c r="H10" s="24">
        <v>153881993628.60132</v>
      </c>
      <c r="I10" s="24">
        <v>122844.38736373777</v>
      </c>
      <c r="J10" s="24">
        <v>31037.606264863545</v>
      </c>
      <c r="K10" s="24">
        <v>4062356659.5300007</v>
      </c>
      <c r="L10" s="30">
        <f>'Goverment Expenditure'!F37*0.063</f>
        <v>4793805047.4444904</v>
      </c>
      <c r="M10" s="24">
        <v>8410816941</v>
      </c>
      <c r="O10" s="39"/>
    </row>
    <row r="11" spans="1:15" hidden="1" x14ac:dyDescent="0.25">
      <c r="A11" s="21">
        <v>2015</v>
      </c>
      <c r="B11" s="24">
        <v>381992601117.89923</v>
      </c>
      <c r="C11" s="24">
        <v>60114567337.090019</v>
      </c>
      <c r="D11" s="24">
        <v>62856104276.681046</v>
      </c>
      <c r="E11" s="23">
        <v>0.11219999999999999</v>
      </c>
      <c r="F11" s="21">
        <v>0.14329025069432033</v>
      </c>
      <c r="G11" s="21">
        <f t="shared" si="0"/>
        <v>1.0279538308706351</v>
      </c>
      <c r="H11" s="24">
        <v>161410448332.70215</v>
      </c>
      <c r="I11" s="24">
        <v>128958.00041803924</v>
      </c>
      <c r="J11" s="24">
        <v>32452.447914662902</v>
      </c>
      <c r="K11" s="24">
        <v>3043772884.9999986</v>
      </c>
      <c r="L11" s="30">
        <f>'Goverment Expenditure'!F38*0.063</f>
        <v>3379101882.9395175</v>
      </c>
      <c r="M11" s="24">
        <v>8786060273</v>
      </c>
      <c r="O11" s="39"/>
    </row>
    <row r="12" spans="1:15" hidden="1" x14ac:dyDescent="0.25">
      <c r="A12" s="21">
        <v>2016</v>
      </c>
      <c r="B12" s="24">
        <v>408789528052.04535</v>
      </c>
      <c r="C12" s="24">
        <v>62542926969.819992</v>
      </c>
      <c r="D12" s="24">
        <v>69615004088.486053</v>
      </c>
      <c r="E12" s="23">
        <v>6.9500000000000006E-2</v>
      </c>
      <c r="F12" s="21">
        <v>0.151382129254644</v>
      </c>
      <c r="G12" s="21">
        <f t="shared" si="0"/>
        <v>1.0765611306728788</v>
      </c>
      <c r="H12" s="24">
        <v>170450268254.13504</v>
      </c>
      <c r="I12" s="24">
        <v>135948.60166849507</v>
      </c>
      <c r="J12" s="24">
        <v>34501.666585639956</v>
      </c>
      <c r="K12" s="24">
        <v>2962174998.8400006</v>
      </c>
      <c r="L12" s="30">
        <f>'Goverment Expenditure'!F39*0.063</f>
        <v>4052073716.0129642</v>
      </c>
      <c r="M12" s="24">
        <v>9959769604</v>
      </c>
      <c r="O12" s="39"/>
    </row>
    <row r="13" spans="1:15" hidden="1" x14ac:dyDescent="0.25">
      <c r="A13" s="21">
        <v>2017</v>
      </c>
      <c r="B13" s="24">
        <v>423270047301.93054</v>
      </c>
      <c r="C13" s="24">
        <v>65897465369.310043</v>
      </c>
      <c r="D13" s="24">
        <v>74628687488.837448</v>
      </c>
      <c r="E13" s="23">
        <v>2.52E-2</v>
      </c>
      <c r="F13" s="21">
        <v>0.10654851698134205</v>
      </c>
      <c r="G13" s="21">
        <f t="shared" si="0"/>
        <v>1.0793489240941692</v>
      </c>
      <c r="H13" s="24">
        <v>178784115215.83972</v>
      </c>
      <c r="I13" s="24">
        <v>141938.07023722751</v>
      </c>
      <c r="J13" s="24">
        <v>36846.044978612226</v>
      </c>
      <c r="K13" s="24">
        <v>2566518945.3399982</v>
      </c>
      <c r="L13" s="30">
        <f>'Goverment Expenditure'!F40*0.063</f>
        <v>2905555887.1104474</v>
      </c>
      <c r="M13" s="24">
        <v>9680425966</v>
      </c>
      <c r="O13" s="39"/>
    </row>
    <row r="14" spans="1:15" hidden="1" x14ac:dyDescent="0.25">
      <c r="A14" s="21">
        <v>2018</v>
      </c>
      <c r="B14" s="24">
        <v>457293957587.08942</v>
      </c>
      <c r="C14" s="24">
        <v>72842417888.829987</v>
      </c>
      <c r="D14" s="24">
        <v>78149805142.423065</v>
      </c>
      <c r="E14" s="23">
        <v>4.6199999999999998E-2</v>
      </c>
      <c r="F14" s="21">
        <v>6.784037364604445E-2</v>
      </c>
      <c r="G14" s="21">
        <f t="shared" si="0"/>
        <v>1.020684738717305</v>
      </c>
      <c r="H14" s="24">
        <v>186829499487.43661</v>
      </c>
      <c r="I14" s="24">
        <v>148191.46984827117</v>
      </c>
      <c r="J14" s="24">
        <v>38638.029639165426</v>
      </c>
      <c r="K14" s="24">
        <v>3637490045.6499996</v>
      </c>
      <c r="L14" s="30">
        <f>'Goverment Expenditure'!F41*0.063</f>
        <v>3307360226.4301949</v>
      </c>
      <c r="M14" s="24">
        <v>10255405079</v>
      </c>
      <c r="O14" s="39"/>
    </row>
    <row r="15" spans="1:15" hidden="1" x14ac:dyDescent="0.25">
      <c r="A15" s="21">
        <v>2019</v>
      </c>
      <c r="B15" s="24">
        <v>482464177470.65283</v>
      </c>
      <c r="C15" s="24">
        <v>75790081414.439972</v>
      </c>
      <c r="D15" s="24">
        <v>81775376626.229614</v>
      </c>
      <c r="E15" s="23">
        <v>4.0800000000000003E-2</v>
      </c>
      <c r="F15" s="21">
        <v>6.2082222044283153E-2</v>
      </c>
      <c r="G15" s="21">
        <f t="shared" si="0"/>
        <v>1.0204479458534619</v>
      </c>
      <c r="H15" s="24">
        <v>197772119434.2197</v>
      </c>
      <c r="I15" s="24">
        <v>156181.54389067041</v>
      </c>
      <c r="J15" s="24">
        <v>41590.575543549283</v>
      </c>
      <c r="K15" s="24">
        <v>3280510458.139998</v>
      </c>
      <c r="L15" s="30">
        <f>'Goverment Expenditure'!F42*0.063</f>
        <v>3565381421.3411436</v>
      </c>
      <c r="M15" s="24">
        <v>15113156721</v>
      </c>
      <c r="O15" s="39"/>
    </row>
    <row r="16" spans="1:15" hidden="1" x14ac:dyDescent="0.25">
      <c r="A16" s="21">
        <v>2020</v>
      </c>
      <c r="B16" s="24">
        <v>470941846049.46924</v>
      </c>
      <c r="C16" s="24">
        <v>80869267380.790024</v>
      </c>
      <c r="D16" s="24">
        <v>106353689470.43546</v>
      </c>
      <c r="E16" s="23">
        <v>4.2200000000000001E-2</v>
      </c>
      <c r="F16" s="21">
        <v>2.9293872997804504E-2</v>
      </c>
      <c r="G16" s="21">
        <f t="shared" si="0"/>
        <v>0.9876164584511653</v>
      </c>
      <c r="H16" s="24">
        <v>190786264929.07312</v>
      </c>
      <c r="I16" s="24">
        <v>151515.46040188914</v>
      </c>
      <c r="J16" s="24">
        <v>39270.804527183958</v>
      </c>
      <c r="K16" s="24">
        <v>4200639019.9100041</v>
      </c>
      <c r="L16" s="30">
        <f>'Goverment Expenditure'!F43*0.063</f>
        <v>6608983355.1719561</v>
      </c>
      <c r="M16" s="24">
        <v>13766175656</v>
      </c>
      <c r="O16" s="39"/>
    </row>
    <row r="17" spans="1:23" hidden="1" x14ac:dyDescent="0.25">
      <c r="A17" s="21">
        <v>2021</v>
      </c>
      <c r="B17" s="24">
        <v>581283677303.45911</v>
      </c>
      <c r="C17" s="24">
        <v>89118654050.409988</v>
      </c>
      <c r="D17" s="24">
        <v>93385370077.092026</v>
      </c>
      <c r="E17" s="23">
        <v>0.1099</v>
      </c>
      <c r="F17" s="37">
        <v>4.6146758554271861E-2</v>
      </c>
      <c r="G17" s="21">
        <f t="shared" si="0"/>
        <v>0.9425594725238956</v>
      </c>
      <c r="H17" s="24">
        <v>214423656246.74994</v>
      </c>
      <c r="I17" s="24">
        <v>169747.42537687992</v>
      </c>
      <c r="J17" s="24">
        <v>44676.230869870022</v>
      </c>
      <c r="K17" s="24">
        <v>5767970693.7700014</v>
      </c>
      <c r="L17" s="30">
        <f>'Goverment Expenditure'!F44*0.063</f>
        <v>3580178843.7753744</v>
      </c>
      <c r="M17" s="24">
        <v>17433933335</v>
      </c>
      <c r="O17" s="39"/>
    </row>
    <row r="18" spans="1:23" hidden="1" x14ac:dyDescent="0.25">
      <c r="A18" s="21">
        <v>2022</v>
      </c>
      <c r="B18" s="21"/>
      <c r="C18" s="21"/>
      <c r="D18" s="21"/>
      <c r="E18" s="23">
        <v>4.3999999999999997E-2</v>
      </c>
      <c r="F18" s="21"/>
      <c r="G18" s="21"/>
      <c r="H18" s="21"/>
      <c r="I18" s="21"/>
      <c r="J18" s="21"/>
      <c r="K18" s="21"/>
      <c r="L18" s="21"/>
      <c r="M18" s="21"/>
      <c r="N18" s="21"/>
    </row>
    <row r="19" spans="1:23" hidden="1" x14ac:dyDescent="0.25">
      <c r="A19" s="21"/>
      <c r="B19" s="21"/>
      <c r="C19" s="21"/>
      <c r="D19" s="21"/>
      <c r="E19" s="23"/>
      <c r="F19" s="21"/>
      <c r="G19" s="21"/>
      <c r="H19" s="21"/>
      <c r="I19" s="21"/>
      <c r="J19" s="21"/>
      <c r="K19" s="21"/>
      <c r="L19" s="21"/>
      <c r="M19" s="21"/>
      <c r="N19" s="21"/>
    </row>
    <row r="20" spans="1:23" x14ac:dyDescent="0.25">
      <c r="B20" s="111" t="s">
        <v>283</v>
      </c>
      <c r="C20" s="111"/>
      <c r="D20" s="111"/>
      <c r="E20" s="111"/>
      <c r="F20" s="111"/>
      <c r="G20" s="111"/>
      <c r="H20" s="111"/>
      <c r="I20" s="111"/>
      <c r="J20" s="111"/>
      <c r="K20" s="111" t="s">
        <v>89</v>
      </c>
      <c r="L20" s="111"/>
      <c r="M20" s="111"/>
      <c r="N20" s="111"/>
      <c r="O20" s="111"/>
      <c r="P20" s="111"/>
      <c r="Q20" s="111"/>
      <c r="R20" s="111"/>
      <c r="S20" s="111"/>
    </row>
    <row r="21" spans="1:23" x14ac:dyDescent="0.25">
      <c r="B21" t="s">
        <v>372</v>
      </c>
      <c r="C21" s="21" t="s">
        <v>231</v>
      </c>
      <c r="D21" s="21" t="s">
        <v>232</v>
      </c>
      <c r="E21" s="22" t="s">
        <v>54</v>
      </c>
      <c r="F21" s="22" t="s">
        <v>55</v>
      </c>
      <c r="G21" t="s">
        <v>94</v>
      </c>
      <c r="H21" s="22" t="s">
        <v>67</v>
      </c>
      <c r="I21" s="22" t="s">
        <v>96</v>
      </c>
      <c r="J21" s="22" t="s">
        <v>100</v>
      </c>
      <c r="K21" t="s">
        <v>90</v>
      </c>
      <c r="L21" t="s">
        <v>91</v>
      </c>
      <c r="M21" t="s">
        <v>92</v>
      </c>
      <c r="N21" t="s">
        <v>93</v>
      </c>
      <c r="O21" t="s">
        <v>95</v>
      </c>
      <c r="P21" t="s">
        <v>97</v>
      </c>
      <c r="Q21" t="s">
        <v>68</v>
      </c>
      <c r="R21" t="s">
        <v>101</v>
      </c>
      <c r="S21" t="s">
        <v>102</v>
      </c>
      <c r="U21" t="s">
        <v>114</v>
      </c>
      <c r="V21">
        <v>0.13500000000000001</v>
      </c>
    </row>
    <row r="22" spans="1:23" x14ac:dyDescent="0.25">
      <c r="A22" s="21">
        <v>2010</v>
      </c>
      <c r="B22" s="24">
        <v>241249163902.14984</v>
      </c>
      <c r="C22" s="24">
        <v>36723722547.789993</v>
      </c>
      <c r="D22" s="24">
        <v>38220762404.479416</v>
      </c>
      <c r="E22" s="23">
        <v>5.1400000000000001E-2</v>
      </c>
      <c r="F22" s="24">
        <f>1+E22</f>
        <v>1.0514000000000001</v>
      </c>
      <c r="G22" s="24">
        <f>H6</f>
        <v>96993645616.247742</v>
      </c>
      <c r="H22" s="24">
        <v>4101123118.0900016</v>
      </c>
      <c r="I22" s="30">
        <v>2923846513.1561699</v>
      </c>
      <c r="J22" s="24">
        <v>5926882957</v>
      </c>
      <c r="K22" s="46">
        <f>(C22-H22)/$B22</f>
        <v>0.13522367871472354</v>
      </c>
      <c r="L22" s="46">
        <f>(D22-I22)/$B22</f>
        <v>0.14630896671475968</v>
      </c>
      <c r="M22" s="92">
        <f>H22/$B22</f>
        <v>1.699953297974292E-2</v>
      </c>
      <c r="N22" s="92">
        <f>I22/$B22</f>
        <v>1.2119613041817945E-2</v>
      </c>
      <c r="O22">
        <f>G22/$B22</f>
        <v>0.40204759281813784</v>
      </c>
      <c r="P22">
        <f>H22/C22</f>
        <v>0.11167503819235787</v>
      </c>
      <c r="Q22">
        <f>I22/D22</f>
        <v>7.6498906071363434E-2</v>
      </c>
      <c r="R22">
        <f>J22/C22</f>
        <v>0.16139112665626745</v>
      </c>
      <c r="S22">
        <f>J22/D22</f>
        <v>0.15506972085688636</v>
      </c>
      <c r="U22" t="s">
        <v>115</v>
      </c>
      <c r="V22">
        <v>0.9</v>
      </c>
    </row>
    <row r="23" spans="1:23" x14ac:dyDescent="0.25">
      <c r="A23" s="21">
        <v>2011</v>
      </c>
      <c r="B23" s="24">
        <f>B22*(1+GDP!O15/100)</f>
        <v>252299019132.18674</v>
      </c>
      <c r="C23" s="24">
        <f>(C7/C6)/(1+$E23)*C6</f>
        <v>38317636369.473412</v>
      </c>
      <c r="D23" s="24">
        <f>(D7/D6)/(1+$E23)*D22</f>
        <v>39060541231.983429</v>
      </c>
      <c r="E23" s="23">
        <v>6.5299999999999997E-2</v>
      </c>
      <c r="F23" s="24">
        <f t="shared" ref="F23:F33" si="1">1+E23</f>
        <v>1.0652999999999999</v>
      </c>
      <c r="G23" s="24">
        <f>(H7/H6)/(1+E23)*G22</f>
        <v>106087735670.5573</v>
      </c>
      <c r="H23" s="24">
        <f>(K7/H22)/(1+E23)*H22</f>
        <v>3192373280.0056334</v>
      </c>
      <c r="I23" s="24">
        <f>(L7/I22)/(1+E23)*I22</f>
        <v>2695018202.5979438</v>
      </c>
      <c r="J23" s="24">
        <f>(M7/M6)/(1+E23)*J22</f>
        <v>6663450505.0220594</v>
      </c>
      <c r="K23" s="46">
        <f t="shared" ref="K23:K33" si="2">(C23-H23)/$B23</f>
        <v>0.13922076752531742</v>
      </c>
      <c r="L23" s="46">
        <f t="shared" ref="L23:L33" si="3">(D23-I23)/$B23</f>
        <v>0.14413660090502586</v>
      </c>
      <c r="M23" s="92">
        <f t="shared" ref="M23:M33" si="4">H23/$B23</f>
        <v>1.2653133932054871E-2</v>
      </c>
      <c r="N23" s="92">
        <f t="shared" ref="N23:N33" si="5">I23/$B23</f>
        <v>1.0681841775952152E-2</v>
      </c>
      <c r="O23">
        <f t="shared" ref="O23:O33" si="6">G23/$B23</f>
        <v>0.42048413836668491</v>
      </c>
      <c r="P23">
        <f t="shared" ref="P23:Q33" si="7">H23/C23</f>
        <v>8.3313418636356912E-2</v>
      </c>
      <c r="Q23">
        <f t="shared" si="7"/>
        <v>6.8995925750030759E-2</v>
      </c>
      <c r="R23">
        <f t="shared" ref="R23:R33" si="8">J23/C23</f>
        <v>0.1739003533717608</v>
      </c>
      <c r="S23">
        <f t="shared" ref="S23:S33" si="9">J23/D23</f>
        <v>0.1705928872169829</v>
      </c>
      <c r="U23" t="s">
        <v>116</v>
      </c>
      <c r="V23">
        <v>1</v>
      </c>
    </row>
    <row r="24" spans="1:23" x14ac:dyDescent="0.25">
      <c r="A24" s="21">
        <v>2012</v>
      </c>
      <c r="B24" s="24">
        <f>B23*(1+GDP!O16/100)</f>
        <v>246975810474.38165</v>
      </c>
      <c r="C24" s="24">
        <f>(C8/C7)/(1+E24)*C23</f>
        <v>40895787885.902794</v>
      </c>
      <c r="D24" s="24">
        <f t="shared" ref="D24:D33" si="10">(D8/D7)/(1+$E24)*D23</f>
        <v>41479294053.476929</v>
      </c>
      <c r="E24" s="23">
        <v>5.5599999999999997E-2</v>
      </c>
      <c r="F24" s="24">
        <f t="shared" si="1"/>
        <v>1.0556000000000001</v>
      </c>
      <c r="G24" s="24">
        <f t="shared" ref="G24:G33" si="11">(H8/H7)/(1+E24)*G23</f>
        <v>109581424607.77505</v>
      </c>
      <c r="H24" s="24">
        <f t="shared" ref="H24:H33" si="12">(K8/H23)/(1+E24)*H23</f>
        <v>3706029141.7298217</v>
      </c>
      <c r="I24" s="24">
        <f t="shared" ref="I24:I33" si="13">(L8/I23)/(1+E24)*I23</f>
        <v>3077970258.4842176</v>
      </c>
      <c r="J24" s="24">
        <f t="shared" ref="J24:J33" si="14">(M8/M7)/(1+E24)*J23</f>
        <v>6334663144.9841805</v>
      </c>
      <c r="K24" s="46">
        <f t="shared" si="2"/>
        <v>0.15058057172781542</v>
      </c>
      <c r="L24" s="46">
        <f t="shared" si="3"/>
        <v>0.1554861738128642</v>
      </c>
      <c r="M24" s="92">
        <f t="shared" si="4"/>
        <v>1.5005636117202827E-2</v>
      </c>
      <c r="N24" s="92">
        <f t="shared" si="5"/>
        <v>1.2462638557890227E-2</v>
      </c>
      <c r="O24">
        <f t="shared" si="6"/>
        <v>0.4436929446543581</v>
      </c>
      <c r="P24">
        <f t="shared" si="7"/>
        <v>9.0621292150415533E-2</v>
      </c>
      <c r="Q24">
        <f t="shared" si="7"/>
        <v>7.4204981755860239E-2</v>
      </c>
      <c r="R24">
        <f t="shared" si="8"/>
        <v>0.15489769172946549</v>
      </c>
      <c r="S24">
        <f t="shared" si="9"/>
        <v>0.15271868264723248</v>
      </c>
    </row>
    <row r="25" spans="1:23" x14ac:dyDescent="0.25">
      <c r="A25" s="21">
        <v>2013</v>
      </c>
      <c r="B25" s="24">
        <f>B24*(1+GDP!O17/100)</f>
        <v>268038254122.1633</v>
      </c>
      <c r="C25" s="24">
        <f t="shared" ref="C25:C33" si="15">(C9/C8)/(1+E25)*C24</f>
        <v>42115627954.726868</v>
      </c>
      <c r="D25" s="24">
        <f t="shared" si="10"/>
        <v>44458161580.740425</v>
      </c>
      <c r="E25" s="23">
        <v>5.79E-2</v>
      </c>
      <c r="F25" s="24">
        <f t="shared" si="1"/>
        <v>1.0579000000000001</v>
      </c>
      <c r="G25" s="24">
        <f t="shared" si="11"/>
        <v>118729208451.74181</v>
      </c>
      <c r="H25" s="24">
        <f t="shared" si="12"/>
        <v>3249643407.4581695</v>
      </c>
      <c r="I25" s="24">
        <f t="shared" si="13"/>
        <v>3815075840.3532944</v>
      </c>
      <c r="J25" s="24">
        <f t="shared" si="14"/>
        <v>6288993851.0244102</v>
      </c>
      <c r="K25" s="46">
        <f t="shared" si="2"/>
        <v>0.14500163297420532</v>
      </c>
      <c r="L25" s="46">
        <f t="shared" si="3"/>
        <v>0.15163166121005739</v>
      </c>
      <c r="M25" s="92">
        <f t="shared" si="4"/>
        <v>1.2123804559542779E-2</v>
      </c>
      <c r="N25" s="92">
        <f t="shared" si="5"/>
        <v>1.4233325958818193E-2</v>
      </c>
      <c r="O25">
        <f t="shared" si="6"/>
        <v>0.44295620727938639</v>
      </c>
      <c r="P25">
        <f t="shared" si="7"/>
        <v>7.7160036909610985E-2</v>
      </c>
      <c r="Q25">
        <f t="shared" si="7"/>
        <v>8.5812721550006937E-2</v>
      </c>
      <c r="R25">
        <f t="shared" si="8"/>
        <v>0.14932684507957247</v>
      </c>
      <c r="S25">
        <f t="shared" si="9"/>
        <v>0.14145870246125616</v>
      </c>
      <c r="U25" t="s">
        <v>117</v>
      </c>
      <c r="W25">
        <v>0.12</v>
      </c>
    </row>
    <row r="26" spans="1:23" x14ac:dyDescent="0.25">
      <c r="A26" s="21">
        <v>2014</v>
      </c>
      <c r="B26" s="24">
        <f>B25*(1+GDP!O18/100)</f>
        <v>267294325107.71597</v>
      </c>
      <c r="C26" s="24">
        <f t="shared" si="15"/>
        <v>43971291311.034927</v>
      </c>
      <c r="D26" s="24">
        <f t="shared" si="10"/>
        <v>46069873622.241028</v>
      </c>
      <c r="E26" s="23">
        <v>6.7699999999999996E-2</v>
      </c>
      <c r="F26" s="24">
        <f t="shared" si="1"/>
        <v>1.0677000000000001</v>
      </c>
      <c r="G26" s="24">
        <f t="shared" si="11"/>
        <v>121149781661.06483</v>
      </c>
      <c r="H26" s="24">
        <f t="shared" si="12"/>
        <v>3804773493.9870758</v>
      </c>
      <c r="I26" s="24">
        <f t="shared" si="13"/>
        <v>4489842696.8666201</v>
      </c>
      <c r="J26" s="24">
        <f t="shared" si="14"/>
        <v>6621753539.6158543</v>
      </c>
      <c r="K26" s="46">
        <f t="shared" si="2"/>
        <v>0.15027074667919452</v>
      </c>
      <c r="L26" s="46">
        <f t="shared" si="3"/>
        <v>0.15555897383387476</v>
      </c>
      <c r="M26" s="92">
        <f t="shared" si="4"/>
        <v>1.4234396829988082E-2</v>
      </c>
      <c r="N26" s="92">
        <f t="shared" si="5"/>
        <v>1.6797373812770904E-2</v>
      </c>
      <c r="O26">
        <f t="shared" si="6"/>
        <v>0.45324487009682352</v>
      </c>
      <c r="P26">
        <f t="shared" si="7"/>
        <v>8.652858218499121E-2</v>
      </c>
      <c r="Q26">
        <f t="shared" si="7"/>
        <v>9.7457239272717933E-2</v>
      </c>
      <c r="R26">
        <f t="shared" si="8"/>
        <v>0.150592655848478</v>
      </c>
      <c r="S26">
        <f t="shared" si="9"/>
        <v>0.1437328349088218</v>
      </c>
      <c r="U26" t="s">
        <v>118</v>
      </c>
      <c r="W26">
        <v>0.1</v>
      </c>
    </row>
    <row r="27" spans="1:23" x14ac:dyDescent="0.25">
      <c r="A27" s="21">
        <v>2015</v>
      </c>
      <c r="B27" s="24">
        <f>B26*(1+GDP!O19/100)</f>
        <v>254980619320.39966</v>
      </c>
      <c r="C27" s="24">
        <f t="shared" si="15"/>
        <v>42553145321.263344</v>
      </c>
      <c r="D27" s="24">
        <f t="shared" si="10"/>
        <v>44493790076.133774</v>
      </c>
      <c r="E27" s="23">
        <v>0.11219999999999999</v>
      </c>
      <c r="F27" s="24">
        <f t="shared" si="1"/>
        <v>1.1122000000000001</v>
      </c>
      <c r="G27" s="24">
        <f t="shared" si="11"/>
        <v>114257202014.89235</v>
      </c>
      <c r="H27" s="24">
        <f t="shared" si="12"/>
        <v>2736713617.1551867</v>
      </c>
      <c r="I27" s="24">
        <f t="shared" si="13"/>
        <v>3038214244.6857734</v>
      </c>
      <c r="J27" s="24">
        <f t="shared" si="14"/>
        <v>6219366056.5144129</v>
      </c>
      <c r="K27" s="46">
        <f t="shared" si="2"/>
        <v>0.15615473760410092</v>
      </c>
      <c r="L27" s="46">
        <f t="shared" si="3"/>
        <v>0.16258324237324243</v>
      </c>
      <c r="M27" s="92">
        <f t="shared" si="4"/>
        <v>1.0733026001934402E-2</v>
      </c>
      <c r="N27" s="92">
        <f t="shared" si="5"/>
        <v>1.1915471273007069E-2</v>
      </c>
      <c r="O27">
        <f t="shared" si="6"/>
        <v>0.44810151579136598</v>
      </c>
      <c r="P27">
        <f t="shared" si="7"/>
        <v>6.431283977938243E-2</v>
      </c>
      <c r="Q27">
        <f t="shared" si="7"/>
        <v>6.8284006363293709E-2</v>
      </c>
      <c r="R27">
        <f t="shared" si="8"/>
        <v>0.14615526089928454</v>
      </c>
      <c r="S27">
        <f t="shared" si="9"/>
        <v>0.13978054119175715</v>
      </c>
      <c r="U27" t="s">
        <v>119</v>
      </c>
      <c r="W27">
        <v>0.5</v>
      </c>
    </row>
    <row r="28" spans="1:23" x14ac:dyDescent="0.25">
      <c r="A28" s="21">
        <v>2016</v>
      </c>
      <c r="B28" s="24">
        <f>B27*(1+GDP!O20/100)</f>
        <v>248816068946.40884</v>
      </c>
      <c r="C28" s="24">
        <f t="shared" si="15"/>
        <v>41395139836.746849</v>
      </c>
      <c r="D28" s="24">
        <f t="shared" si="10"/>
        <v>46075918870.396904</v>
      </c>
      <c r="E28" s="23">
        <v>6.9500000000000006E-2</v>
      </c>
      <c r="F28" s="24">
        <f t="shared" si="1"/>
        <v>1.0695000000000001</v>
      </c>
      <c r="G28" s="24">
        <f t="shared" si="11"/>
        <v>112815517780.22325</v>
      </c>
      <c r="H28" s="24">
        <f t="shared" si="12"/>
        <v>2769682093.3520346</v>
      </c>
      <c r="I28" s="24">
        <f t="shared" si="13"/>
        <v>3788755227.6886058</v>
      </c>
      <c r="J28" s="24">
        <f t="shared" si="14"/>
        <v>6592049260.7950516</v>
      </c>
      <c r="K28" s="46">
        <f t="shared" si="2"/>
        <v>0.15523699054868575</v>
      </c>
      <c r="L28" s="46">
        <f t="shared" si="3"/>
        <v>0.16995350751167243</v>
      </c>
      <c r="M28" s="92">
        <f t="shared" si="4"/>
        <v>1.1131443821454239E-2</v>
      </c>
      <c r="N28" s="92">
        <f t="shared" si="5"/>
        <v>1.5227132410425812E-2</v>
      </c>
      <c r="O28">
        <f t="shared" si="6"/>
        <v>0.45340929248633849</v>
      </c>
      <c r="P28">
        <f t="shared" si="7"/>
        <v>6.6908388382671005E-2</v>
      </c>
      <c r="Q28">
        <f t="shared" si="7"/>
        <v>8.2228533268010953E-2</v>
      </c>
      <c r="R28">
        <f t="shared" si="8"/>
        <v>0.15924693784808111</v>
      </c>
      <c r="S28">
        <f t="shared" si="9"/>
        <v>0.14306929568430909</v>
      </c>
      <c r="U28" t="s">
        <v>120</v>
      </c>
      <c r="W28">
        <v>0.43</v>
      </c>
    </row>
    <row r="29" spans="1:23" x14ac:dyDescent="0.25">
      <c r="A29" s="21">
        <v>2017</v>
      </c>
      <c r="B29" s="24">
        <f>B28*(1+GDP!O21/100)</f>
        <v>253286356150.20581</v>
      </c>
      <c r="C29" s="24">
        <f t="shared" si="15"/>
        <v>42543308886.128639</v>
      </c>
      <c r="D29" s="24">
        <f t="shared" si="10"/>
        <v>48180173331.562218</v>
      </c>
      <c r="E29" s="23">
        <v>2.52E-2</v>
      </c>
      <c r="F29" s="24">
        <f t="shared" si="1"/>
        <v>1.0251999999999999</v>
      </c>
      <c r="G29" s="24">
        <f t="shared" si="11"/>
        <v>115422767703.33871</v>
      </c>
      <c r="H29" s="24">
        <f t="shared" si="12"/>
        <v>2503432447.6589918</v>
      </c>
      <c r="I29" s="24">
        <f t="shared" si="13"/>
        <v>2834135668.2700424</v>
      </c>
      <c r="J29" s="24">
        <f t="shared" si="14"/>
        <v>6249669083.8224602</v>
      </c>
      <c r="K29" s="46">
        <f t="shared" si="2"/>
        <v>0.15808145786867769</v>
      </c>
      <c r="L29" s="46">
        <f t="shared" si="3"/>
        <v>0.17903071587638428</v>
      </c>
      <c r="M29" s="92">
        <f t="shared" si="4"/>
        <v>9.8838030034842737E-3</v>
      </c>
      <c r="N29" s="92">
        <f t="shared" si="5"/>
        <v>1.1189452568022739E-2</v>
      </c>
      <c r="O29">
        <f t="shared" si="6"/>
        <v>0.45570069172967936</v>
      </c>
      <c r="P29">
        <f t="shared" si="7"/>
        <v>5.884432859605903E-2</v>
      </c>
      <c r="Q29">
        <f t="shared" si="7"/>
        <v>5.8823691827887971E-2</v>
      </c>
      <c r="R29">
        <f t="shared" si="8"/>
        <v>0.14690134000978428</v>
      </c>
      <c r="S29">
        <f t="shared" si="9"/>
        <v>0.12971454130756274</v>
      </c>
    </row>
    <row r="30" spans="1:23" x14ac:dyDescent="0.25">
      <c r="A30" s="21">
        <v>2018</v>
      </c>
      <c r="B30" s="24">
        <f>B29*(1+GDP!O22/100)</f>
        <v>258260046567.56183</v>
      </c>
      <c r="C30" s="24">
        <f t="shared" si="15"/>
        <v>44950258312.30899</v>
      </c>
      <c r="D30" s="24">
        <f t="shared" si="10"/>
        <v>48225388860.23455</v>
      </c>
      <c r="E30" s="23">
        <v>4.6199999999999998E-2</v>
      </c>
      <c r="F30" s="24">
        <f t="shared" si="1"/>
        <v>1.0462</v>
      </c>
      <c r="G30" s="24">
        <f t="shared" si="11"/>
        <v>115290437985.41278</v>
      </c>
      <c r="H30" s="24">
        <f t="shared" si="12"/>
        <v>3476859152.7910528</v>
      </c>
      <c r="I30" s="24">
        <f t="shared" si="13"/>
        <v>3161307805.8021359</v>
      </c>
      <c r="J30" s="24">
        <f t="shared" si="14"/>
        <v>6328498157.5152378</v>
      </c>
      <c r="K30" s="46">
        <f t="shared" si="2"/>
        <v>0.16058774754641864</v>
      </c>
      <c r="L30" s="46">
        <f t="shared" si="3"/>
        <v>0.17449110558664549</v>
      </c>
      <c r="M30" s="92">
        <f t="shared" si="4"/>
        <v>1.3462628846392209E-2</v>
      </c>
      <c r="N30" s="92">
        <f t="shared" si="5"/>
        <v>1.2240793137838785E-2</v>
      </c>
      <c r="O30">
        <f t="shared" si="6"/>
        <v>0.44641220939008991</v>
      </c>
      <c r="P30">
        <f t="shared" si="7"/>
        <v>7.7349036097507012E-2</v>
      </c>
      <c r="Q30">
        <f t="shared" si="7"/>
        <v>6.5552769620254345E-2</v>
      </c>
      <c r="R30">
        <f t="shared" si="8"/>
        <v>0.14078891635161678</v>
      </c>
      <c r="S30">
        <f t="shared" si="9"/>
        <v>0.13122751950961581</v>
      </c>
      <c r="U30" t="s">
        <v>121</v>
      </c>
      <c r="W30">
        <v>0.7</v>
      </c>
    </row>
    <row r="31" spans="1:23" x14ac:dyDescent="0.25">
      <c r="A31" s="21">
        <v>2019</v>
      </c>
      <c r="B31" s="24">
        <f>B30*(1+GDP!O23/100)</f>
        <v>260987960217.12341</v>
      </c>
      <c r="C31" s="24">
        <f t="shared" si="15"/>
        <v>44935846648.04422</v>
      </c>
      <c r="D31" s="24">
        <f t="shared" si="10"/>
        <v>48484520864.523033</v>
      </c>
      <c r="E31" s="23">
        <v>4.0800000000000003E-2</v>
      </c>
      <c r="F31" s="24">
        <f t="shared" si="1"/>
        <v>1.0407999999999999</v>
      </c>
      <c r="G31" s="24">
        <f t="shared" si="11"/>
        <v>117258847916.49753</v>
      </c>
      <c r="H31" s="24">
        <f t="shared" si="12"/>
        <v>3151912430.9569545</v>
      </c>
      <c r="I31" s="24">
        <f t="shared" si="13"/>
        <v>3425616277.2301536</v>
      </c>
      <c r="J31" s="24">
        <f t="shared" si="14"/>
        <v>8960572150.188036</v>
      </c>
      <c r="K31" s="46">
        <f t="shared" si="2"/>
        <v>0.1600990872618262</v>
      </c>
      <c r="L31" s="46">
        <f t="shared" si="3"/>
        <v>0.17264744530669948</v>
      </c>
      <c r="M31" s="92">
        <f t="shared" si="4"/>
        <v>1.2076849937195523E-2</v>
      </c>
      <c r="N31" s="92">
        <f t="shared" si="5"/>
        <v>1.3125572054665987E-2</v>
      </c>
      <c r="O31">
        <f t="shared" si="6"/>
        <v>0.44928834195625922</v>
      </c>
      <c r="P31">
        <f t="shared" si="7"/>
        <v>7.0142495714924688E-2</v>
      </c>
      <c r="Q31">
        <f t="shared" si="7"/>
        <v>7.0653813137642796E-2</v>
      </c>
      <c r="R31">
        <f t="shared" si="8"/>
        <v>0.19940810774905104</v>
      </c>
      <c r="S31">
        <f t="shared" si="9"/>
        <v>0.18481304941067578</v>
      </c>
      <c r="U31" t="s">
        <v>122</v>
      </c>
      <c r="W31">
        <v>0.14000000000000001</v>
      </c>
    </row>
    <row r="32" spans="1:23" x14ac:dyDescent="0.25">
      <c r="A32" s="21">
        <v>2020</v>
      </c>
      <c r="B32" s="24">
        <f>B31*(1+GDP!O24/100)</f>
        <v>242164718564.88361</v>
      </c>
      <c r="C32" s="24">
        <f t="shared" si="15"/>
        <v>46005843216.515305</v>
      </c>
      <c r="D32" s="24">
        <f t="shared" si="10"/>
        <v>60503715709.89505</v>
      </c>
      <c r="E32" s="23">
        <v>4.2200000000000001E-2</v>
      </c>
      <c r="F32" s="24">
        <f t="shared" si="1"/>
        <v>1.0422</v>
      </c>
      <c r="G32" s="24">
        <f t="shared" si="11"/>
        <v>108536694797.31775</v>
      </c>
      <c r="H32" s="24">
        <f t="shared" si="12"/>
        <v>4030549817.6069894</v>
      </c>
      <c r="I32" s="24">
        <f t="shared" si="13"/>
        <v>6341377235.8203373</v>
      </c>
      <c r="J32" s="24">
        <f t="shared" si="14"/>
        <v>7831461065.9053373</v>
      </c>
      <c r="K32" s="46">
        <f t="shared" si="2"/>
        <v>0.17333364516376404</v>
      </c>
      <c r="L32" s="46">
        <f t="shared" si="3"/>
        <v>0.22365908128587653</v>
      </c>
      <c r="M32" s="92">
        <f t="shared" si="4"/>
        <v>1.6643835821720153E-2</v>
      </c>
      <c r="N32" s="92">
        <f t="shared" si="5"/>
        <v>2.6186214380858629E-2</v>
      </c>
      <c r="O32">
        <f t="shared" si="6"/>
        <v>0.44819367346543226</v>
      </c>
      <c r="P32">
        <f t="shared" si="7"/>
        <v>8.760951948295323E-2</v>
      </c>
      <c r="Q32">
        <f t="shared" si="7"/>
        <v>0.10480971559211594</v>
      </c>
      <c r="R32">
        <f t="shared" si="8"/>
        <v>0.17022753020846659</v>
      </c>
      <c r="S32">
        <f t="shared" si="9"/>
        <v>0.12943768781831269</v>
      </c>
      <c r="U32" t="s">
        <v>123</v>
      </c>
      <c r="W32">
        <v>0.16</v>
      </c>
    </row>
    <row r="33" spans="1:23" x14ac:dyDescent="0.25">
      <c r="A33" s="21">
        <v>2021</v>
      </c>
      <c r="B33" s="24">
        <f>B32*(1+GDP!O25/100)</f>
        <v>264635346198.77222</v>
      </c>
      <c r="C33" s="24">
        <f t="shared" si="15"/>
        <v>45678754501.428017</v>
      </c>
      <c r="D33" s="24">
        <f t="shared" si="10"/>
        <v>47865707120.79628</v>
      </c>
      <c r="E33" s="23">
        <v>0.1099</v>
      </c>
      <c r="F33" s="24">
        <f t="shared" si="1"/>
        <v>1.1099000000000001</v>
      </c>
      <c r="G33" s="24">
        <f t="shared" si="11"/>
        <v>109905223068.71423</v>
      </c>
      <c r="H33" s="24">
        <f t="shared" si="12"/>
        <v>5196838178.0070286</v>
      </c>
      <c r="I33" s="24">
        <f t="shared" si="13"/>
        <v>3225676947.2703609</v>
      </c>
      <c r="J33" s="24">
        <f t="shared" si="14"/>
        <v>8935955881.3945484</v>
      </c>
      <c r="K33" s="46">
        <f t="shared" si="2"/>
        <v>0.15297244644339505</v>
      </c>
      <c r="L33" s="46">
        <f t="shared" si="3"/>
        <v>0.16868506348353032</v>
      </c>
      <c r="M33" s="92">
        <f t="shared" si="4"/>
        <v>1.9637732648546475E-2</v>
      </c>
      <c r="N33" s="92">
        <f t="shared" si="5"/>
        <v>1.218913872845806E-2</v>
      </c>
      <c r="O33">
        <f t="shared" si="6"/>
        <v>0.41530817650550167</v>
      </c>
      <c r="P33">
        <f t="shared" si="7"/>
        <v>0.11376926176576387</v>
      </c>
      <c r="Q33">
        <f t="shared" si="7"/>
        <v>6.739014508090066E-2</v>
      </c>
      <c r="R33">
        <f t="shared" si="8"/>
        <v>0.19562608435646359</v>
      </c>
      <c r="S33">
        <f t="shared" si="9"/>
        <v>0.18668805746133293</v>
      </c>
      <c r="U33" t="s">
        <v>124</v>
      </c>
      <c r="W33">
        <v>0.15</v>
      </c>
    </row>
    <row r="34" spans="1:23" x14ac:dyDescent="0.25">
      <c r="A34" s="35" t="s">
        <v>98</v>
      </c>
      <c r="B34" s="36">
        <f>AVERAGE(B22:B33)</f>
        <v>254915640725.32944</v>
      </c>
      <c r="C34" s="36">
        <f t="shared" ref="C34:K34" si="16">AVERAGE(C22:C33)</f>
        <v>42507196899.280281</v>
      </c>
      <c r="D34" s="36">
        <f t="shared" si="16"/>
        <v>46093153977.205254</v>
      </c>
      <c r="E34" s="36">
        <f t="shared" si="16"/>
        <v>6.1991666666666674E-2</v>
      </c>
      <c r="F34" s="36">
        <f t="shared" si="16"/>
        <v>1.0619916666666664</v>
      </c>
      <c r="G34" s="36">
        <f t="shared" si="16"/>
        <v>112169040606.14864</v>
      </c>
      <c r="H34" s="36">
        <f t="shared" si="16"/>
        <v>3493327514.8999119</v>
      </c>
      <c r="I34" s="36">
        <f t="shared" si="16"/>
        <v>3568069743.1854711</v>
      </c>
      <c r="J34" s="36">
        <f t="shared" si="16"/>
        <v>6912776304.4817991</v>
      </c>
      <c r="K34" s="34">
        <f t="shared" si="16"/>
        <v>0.15306362583817704</v>
      </c>
      <c r="L34" s="34">
        <f t="shared" ref="L34:S34" si="17">AVERAGE(L22:L33)</f>
        <v>0.16701437815838605</v>
      </c>
      <c r="M34" s="34">
        <f t="shared" si="17"/>
        <v>1.3715485374938231E-2</v>
      </c>
      <c r="N34" s="34">
        <f t="shared" si="17"/>
        <v>1.4030713975043877E-2</v>
      </c>
      <c r="O34" s="34">
        <f t="shared" si="17"/>
        <v>0.43990330454500476</v>
      </c>
      <c r="P34" s="34">
        <f t="shared" si="17"/>
        <v>8.2352853157749484E-2</v>
      </c>
      <c r="Q34" s="34">
        <f t="shared" si="17"/>
        <v>7.6726037440840486E-2</v>
      </c>
      <c r="R34" s="34">
        <f t="shared" si="17"/>
        <v>0.162371904175691</v>
      </c>
      <c r="S34" s="34">
        <f t="shared" si="17"/>
        <v>0.15069196003956217</v>
      </c>
    </row>
    <row r="35" spans="1:23" x14ac:dyDescent="0.25">
      <c r="H35" s="24"/>
    </row>
    <row r="36" spans="1:23" x14ac:dyDescent="0.25">
      <c r="B36" s="111" t="s">
        <v>86</v>
      </c>
      <c r="C36" s="111"/>
      <c r="D36" s="111"/>
      <c r="E36" s="111"/>
      <c r="F36" s="111"/>
      <c r="G36" s="111"/>
      <c r="H36" s="111"/>
      <c r="I36" s="111"/>
      <c r="J36" s="111"/>
      <c r="K36" s="29"/>
      <c r="L36" s="29"/>
    </row>
    <row r="37" spans="1:23" x14ac:dyDescent="0.25">
      <c r="B37" s="29" t="s">
        <v>238</v>
      </c>
      <c r="C37" s="29" t="s">
        <v>61</v>
      </c>
      <c r="D37" s="29" t="s">
        <v>67</v>
      </c>
      <c r="E37" s="29" t="s">
        <v>62</v>
      </c>
      <c r="F37" s="29" t="s">
        <v>96</v>
      </c>
      <c r="G37" s="29" t="s">
        <v>239</v>
      </c>
      <c r="H37" s="29" t="s">
        <v>54</v>
      </c>
      <c r="I37" s="29" t="s">
        <v>220</v>
      </c>
      <c r="J37" s="29" t="s">
        <v>216</v>
      </c>
      <c r="K37" s="29"/>
      <c r="L37" s="29"/>
    </row>
    <row r="38" spans="1:23" x14ac:dyDescent="0.25">
      <c r="A38" s="21">
        <v>2010</v>
      </c>
      <c r="B38">
        <f>LN(B22)</f>
        <v>26.209096111468931</v>
      </c>
      <c r="C38">
        <f>LN(C22-H22)</f>
        <v>24.208271119183227</v>
      </c>
      <c r="D38">
        <f>LN(H22)</f>
        <v>22.134526704385824</v>
      </c>
      <c r="E38">
        <f>LN(D22-I22)</f>
        <v>24.287061428551056</v>
      </c>
      <c r="F38">
        <f>LN(I22)</f>
        <v>21.796165885375533</v>
      </c>
      <c r="G38">
        <f>LN(G22)</f>
        <v>25.297911304193132</v>
      </c>
      <c r="H38">
        <f>LN(F22)</f>
        <v>5.0122609403210727E-2</v>
      </c>
    </row>
    <row r="39" spans="1:23" x14ac:dyDescent="0.25">
      <c r="A39" s="21">
        <v>2011</v>
      </c>
      <c r="B39">
        <f t="shared" ref="B39:B49" si="18">LN(B23)</f>
        <v>26.253880804881494</v>
      </c>
      <c r="C39">
        <f t="shared" ref="C39:C49" si="19">LN(C23-H23)</f>
        <v>24.282186454663879</v>
      </c>
      <c r="D39">
        <f t="shared" ref="D39:D49" si="20">LN(H23)</f>
        <v>21.884030452054404</v>
      </c>
      <c r="E39">
        <f t="shared" ref="E39:E49" si="21">LN(D23-I23)</f>
        <v>24.31688699321823</v>
      </c>
      <c r="F39">
        <f t="shared" ref="F39:F49" si="22">LN(I23)</f>
        <v>21.714670795495302</v>
      </c>
      <c r="G39">
        <f t="shared" ref="G39:G49" si="23">LN(G23)</f>
        <v>25.387532283713121</v>
      </c>
      <c r="H39">
        <f t="shared" ref="H39:H49" si="24">LN(F23)</f>
        <v>6.3256449635014769E-2</v>
      </c>
      <c r="I39">
        <f>LN(Ac!B19)</f>
        <v>4.6051701859880918</v>
      </c>
      <c r="J39">
        <f>LN(Ad!B20)</f>
        <v>4.6051701859880918</v>
      </c>
    </row>
    <row r="40" spans="1:23" x14ac:dyDescent="0.25">
      <c r="A40" s="21">
        <v>2012</v>
      </c>
      <c r="B40">
        <f t="shared" si="18"/>
        <v>26.232556235476512</v>
      </c>
      <c r="C40">
        <f t="shared" si="19"/>
        <v>24.339299257746806</v>
      </c>
      <c r="D40">
        <f t="shared" si="20"/>
        <v>22.033226828170413</v>
      </c>
      <c r="E40">
        <f t="shared" si="21"/>
        <v>24.37135776977382</v>
      </c>
      <c r="F40">
        <f t="shared" si="22"/>
        <v>21.847536209705702</v>
      </c>
      <c r="G40">
        <f t="shared" si="23"/>
        <v>25.419933713590673</v>
      </c>
      <c r="H40">
        <f t="shared" si="24"/>
        <v>5.4109325647032039E-2</v>
      </c>
      <c r="I40">
        <f>LN(Ac!B20)</f>
        <v>4.5628725898725024</v>
      </c>
      <c r="J40">
        <f>LN(Ad!B21)</f>
        <v>4.6344867498446112</v>
      </c>
    </row>
    <row r="41" spans="1:23" x14ac:dyDescent="0.25">
      <c r="A41" s="21">
        <v>2013</v>
      </c>
      <c r="B41">
        <f t="shared" si="18"/>
        <v>26.314395546532793</v>
      </c>
      <c r="C41">
        <f t="shared" si="19"/>
        <v>24.383385271798886</v>
      </c>
      <c r="D41">
        <f t="shared" si="20"/>
        <v>21.901811106486189</v>
      </c>
      <c r="E41">
        <f t="shared" si="21"/>
        <v>24.428094565985461</v>
      </c>
      <c r="F41">
        <f t="shared" si="22"/>
        <v>22.062226381001171</v>
      </c>
      <c r="G41">
        <f t="shared" si="23"/>
        <v>25.500111177809519</v>
      </c>
      <c r="H41">
        <f t="shared" si="24"/>
        <v>5.6285811010591887E-2</v>
      </c>
      <c r="I41">
        <f>LN(Ac!B21)</f>
        <v>4.6090940824180144</v>
      </c>
      <c r="J41">
        <f>LN(Ad!B22)</f>
        <v>4.6906201103372096</v>
      </c>
    </row>
    <row r="42" spans="1:23" x14ac:dyDescent="0.25">
      <c r="A42" s="21">
        <v>2014</v>
      </c>
      <c r="B42">
        <f t="shared" si="18"/>
        <v>26.311616229442109</v>
      </c>
      <c r="C42">
        <f t="shared" si="19"/>
        <v>24.416299595402506</v>
      </c>
      <c r="D42">
        <f t="shared" si="20"/>
        <v>22.059522297969661</v>
      </c>
      <c r="E42">
        <f t="shared" si="21"/>
        <v>24.450885863132001</v>
      </c>
      <c r="F42">
        <f t="shared" si="22"/>
        <v>22.225083503981434</v>
      </c>
      <c r="G42">
        <f t="shared" si="23"/>
        <v>25.520293481987469</v>
      </c>
      <c r="H42">
        <f t="shared" si="24"/>
        <v>6.5506802202119713E-2</v>
      </c>
      <c r="I42">
        <f>LN(Ac!B22)</f>
        <v>4.5918211584463346</v>
      </c>
      <c r="J42">
        <f>LN(Ad!B23)</f>
        <v>4.675493315156241</v>
      </c>
    </row>
    <row r="43" spans="1:23" x14ac:dyDescent="0.25">
      <c r="A43" s="21">
        <v>2015</v>
      </c>
      <c r="B43">
        <f t="shared" si="18"/>
        <v>26.264453376551391</v>
      </c>
      <c r="C43">
        <f t="shared" si="19"/>
        <v>24.407545520921989</v>
      </c>
      <c r="D43">
        <f t="shared" si="20"/>
        <v>21.730023627681412</v>
      </c>
      <c r="E43">
        <f t="shared" si="21"/>
        <v>24.447888228936709</v>
      </c>
      <c r="F43">
        <f t="shared" si="22"/>
        <v>21.834535760254848</v>
      </c>
      <c r="G43">
        <f t="shared" si="23"/>
        <v>25.46171790206343</v>
      </c>
      <c r="H43">
        <f t="shared" si="24"/>
        <v>0.10634003577132663</v>
      </c>
      <c r="I43">
        <f>LN(Ac!B23)</f>
        <v>4.5584871723337583</v>
      </c>
      <c r="J43">
        <f>LN(Ad!B24)</f>
        <v>4.602249555957445</v>
      </c>
    </row>
    <row r="44" spans="1:23" x14ac:dyDescent="0.25">
      <c r="A44" s="21">
        <v>2016</v>
      </c>
      <c r="B44">
        <f t="shared" si="18"/>
        <v>26.239979781523324</v>
      </c>
      <c r="C44">
        <f t="shared" si="19"/>
        <v>24.377177423055777</v>
      </c>
      <c r="D44">
        <f t="shared" si="20"/>
        <v>21.741998382816391</v>
      </c>
      <c r="E44">
        <f t="shared" si="21"/>
        <v>24.467749416962089</v>
      </c>
      <c r="F44">
        <f t="shared" si="22"/>
        <v>22.055303366127774</v>
      </c>
      <c r="G44">
        <f t="shared" si="23"/>
        <v>25.449019735522235</v>
      </c>
      <c r="H44">
        <f t="shared" si="24"/>
        <v>6.7191249540323378E-2</v>
      </c>
      <c r="I44">
        <f>LN(Ac!B24)</f>
        <v>4.559052832817442</v>
      </c>
      <c r="J44">
        <f>LN(Ad!B25)</f>
        <v>4.5451753147106766</v>
      </c>
    </row>
    <row r="45" spans="1:23" x14ac:dyDescent="0.25">
      <c r="A45" s="21">
        <v>2017</v>
      </c>
      <c r="B45">
        <f t="shared" si="18"/>
        <v>26.257786528114064</v>
      </c>
      <c r="C45">
        <f t="shared" si="19"/>
        <v>24.413141705436363</v>
      </c>
      <c r="D45">
        <f t="shared" si="20"/>
        <v>21.640928606210242</v>
      </c>
      <c r="E45">
        <f t="shared" si="21"/>
        <v>24.537588637326358</v>
      </c>
      <c r="F45">
        <f t="shared" si="22"/>
        <v>21.765002848724009</v>
      </c>
      <c r="G45">
        <f t="shared" si="23"/>
        <v>25.471867465350314</v>
      </c>
      <c r="H45">
        <f t="shared" si="24"/>
        <v>2.4887715507778883E-2</v>
      </c>
      <c r="I45">
        <f>LN(Ac!B25)</f>
        <v>4.6008639539956508</v>
      </c>
      <c r="J45">
        <f>LN(Ad!B26)</f>
        <v>4.4848128553207829</v>
      </c>
    </row>
    <row r="46" spans="1:23" x14ac:dyDescent="0.25">
      <c r="A46" s="21">
        <v>2018</v>
      </c>
      <c r="B46">
        <f t="shared" si="18"/>
        <v>26.277232846677617</v>
      </c>
      <c r="C46">
        <f t="shared" si="19"/>
        <v>24.448318074556923</v>
      </c>
      <c r="D46">
        <f t="shared" si="20"/>
        <v>21.969395180894839</v>
      </c>
      <c r="E46">
        <f t="shared" si="21"/>
        <v>24.531351337188735</v>
      </c>
      <c r="F46">
        <f t="shared" si="22"/>
        <v>21.874251641523344</v>
      </c>
      <c r="G46">
        <f t="shared" si="23"/>
        <v>25.470720329172806</v>
      </c>
      <c r="H46">
        <f t="shared" si="24"/>
        <v>4.5164551954373661E-2</v>
      </c>
      <c r="I46">
        <f>LN(Ac!B26)</f>
        <v>4.6355416914153889</v>
      </c>
      <c r="J46">
        <f>LN(Ad!B27)</f>
        <v>4.4597279487555319</v>
      </c>
    </row>
    <row r="47" spans="1:23" x14ac:dyDescent="0.25">
      <c r="A47" s="21">
        <v>2019</v>
      </c>
      <c r="B47">
        <f t="shared" si="18"/>
        <v>26.287740113768802</v>
      </c>
      <c r="C47">
        <f t="shared" si="19"/>
        <v>24.455777753722654</v>
      </c>
      <c r="D47">
        <f t="shared" si="20"/>
        <v>21.871275226499311</v>
      </c>
      <c r="E47">
        <f t="shared" si="21"/>
        <v>24.531236461563868</v>
      </c>
      <c r="F47">
        <f t="shared" si="22"/>
        <v>21.954547227431956</v>
      </c>
      <c r="G47">
        <f t="shared" si="23"/>
        <v>25.487649703400081</v>
      </c>
      <c r="H47">
        <f t="shared" si="24"/>
        <v>3.9989648216158413E-2</v>
      </c>
      <c r="I47">
        <f>LN(Ac!B27)</f>
        <v>4.6182428676422509</v>
      </c>
      <c r="J47">
        <f>LN(Ad!B28)</f>
        <v>4.4561651181663775</v>
      </c>
    </row>
    <row r="48" spans="1:23" x14ac:dyDescent="0.25">
      <c r="A48" s="21">
        <v>2020</v>
      </c>
      <c r="B48">
        <f t="shared" si="18"/>
        <v>26.21288398678918</v>
      </c>
      <c r="C48">
        <f t="shared" si="19"/>
        <v>24.460347029734503</v>
      </c>
      <c r="D48">
        <f t="shared" si="20"/>
        <v>22.117168634767104</v>
      </c>
      <c r="E48">
        <f t="shared" si="21"/>
        <v>24.715251641761505</v>
      </c>
      <c r="F48">
        <f t="shared" si="22"/>
        <v>22.570361811429265</v>
      </c>
      <c r="G48">
        <f t="shared" si="23"/>
        <v>25.410354153646832</v>
      </c>
      <c r="H48">
        <f t="shared" si="24"/>
        <v>4.1333863492977213E-2</v>
      </c>
      <c r="I48">
        <f>LN(Ac!B28)</f>
        <v>4.5846125871803736</v>
      </c>
      <c r="J48">
        <f>LN(Ad!B29)</f>
        <v>4.4057705943414245</v>
      </c>
    </row>
    <row r="49" spans="1:12" x14ac:dyDescent="0.25">
      <c r="A49" s="21">
        <v>2021</v>
      </c>
      <c r="B49">
        <f t="shared" si="18"/>
        <v>26.30161866322344</v>
      </c>
      <c r="C49">
        <f t="shared" si="19"/>
        <v>24.424121200810578</v>
      </c>
      <c r="D49">
        <f t="shared" si="20"/>
        <v>22.371316234909912</v>
      </c>
      <c r="E49">
        <f t="shared" si="21"/>
        <v>24.52189683094948</v>
      </c>
      <c r="F49">
        <f t="shared" si="22"/>
        <v>21.894408671297281</v>
      </c>
      <c r="G49">
        <f t="shared" si="23"/>
        <v>25.422884222874671</v>
      </c>
      <c r="H49">
        <f t="shared" si="24"/>
        <v>0.10426992117579686</v>
      </c>
      <c r="I49">
        <f>LN(Ac!B29)</f>
        <v>4.6278618923232901</v>
      </c>
      <c r="J49">
        <f>LN(Ad!B30)</f>
        <v>4.4959192521688962</v>
      </c>
    </row>
    <row r="50" spans="1:12" x14ac:dyDescent="0.25">
      <c r="D50">
        <f>AVERAGE(D38:D49)</f>
        <v>21.95460194023714</v>
      </c>
      <c r="F50">
        <f>AVERAGE(F38:F49)</f>
        <v>21.966174508528969</v>
      </c>
    </row>
    <row r="51" spans="1:12" x14ac:dyDescent="0.25">
      <c r="B51" s="111" t="s">
        <v>282</v>
      </c>
      <c r="C51" s="111"/>
      <c r="D51" s="111"/>
      <c r="E51" s="111"/>
      <c r="F51" s="111"/>
      <c r="G51" s="111"/>
      <c r="H51" s="111"/>
      <c r="I51" s="111"/>
      <c r="J51" s="111"/>
      <c r="K51" s="29"/>
      <c r="L51" s="29"/>
    </row>
    <row r="52" spans="1:12" x14ac:dyDescent="0.25">
      <c r="A52" s="21">
        <v>2010</v>
      </c>
      <c r="B52" t="s">
        <v>360</v>
      </c>
      <c r="C52" t="s">
        <v>373</v>
      </c>
      <c r="D52" t="s">
        <v>385</v>
      </c>
      <c r="E52" t="s">
        <v>386</v>
      </c>
      <c r="F52" t="s">
        <v>398</v>
      </c>
      <c r="G52" t="s">
        <v>399</v>
      </c>
      <c r="H52" t="s">
        <v>411</v>
      </c>
    </row>
    <row r="53" spans="1:12" x14ac:dyDescent="0.25">
      <c r="A53" s="21">
        <v>2011</v>
      </c>
      <c r="B53" t="s">
        <v>361</v>
      </c>
      <c r="C53" t="s">
        <v>374</v>
      </c>
      <c r="D53" t="s">
        <v>349</v>
      </c>
      <c r="E53" t="s">
        <v>387</v>
      </c>
      <c r="F53" t="s">
        <v>325</v>
      </c>
      <c r="G53" t="s">
        <v>400</v>
      </c>
      <c r="H53" t="s">
        <v>412</v>
      </c>
      <c r="I53" t="s">
        <v>292</v>
      </c>
      <c r="J53" t="s">
        <v>303</v>
      </c>
    </row>
    <row r="54" spans="1:12" x14ac:dyDescent="0.25">
      <c r="A54" s="21">
        <v>2012</v>
      </c>
      <c r="B54" t="s">
        <v>362</v>
      </c>
      <c r="C54" t="s">
        <v>375</v>
      </c>
      <c r="D54" t="s">
        <v>350</v>
      </c>
      <c r="E54" t="s">
        <v>388</v>
      </c>
      <c r="F54" t="s">
        <v>326</v>
      </c>
      <c r="G54" t="s">
        <v>401</v>
      </c>
      <c r="H54" t="s">
        <v>413</v>
      </c>
      <c r="I54" t="s">
        <v>293</v>
      </c>
      <c r="J54" t="s">
        <v>304</v>
      </c>
    </row>
    <row r="55" spans="1:12" x14ac:dyDescent="0.25">
      <c r="A55" s="21">
        <v>2013</v>
      </c>
      <c r="B55" t="s">
        <v>363</v>
      </c>
      <c r="C55" t="s">
        <v>376</v>
      </c>
      <c r="D55" t="s">
        <v>351</v>
      </c>
      <c r="E55" t="s">
        <v>389</v>
      </c>
      <c r="F55" t="s">
        <v>327</v>
      </c>
      <c r="G55" t="s">
        <v>402</v>
      </c>
      <c r="H55" t="s">
        <v>414</v>
      </c>
      <c r="I55" t="s">
        <v>294</v>
      </c>
      <c r="J55" t="s">
        <v>305</v>
      </c>
    </row>
    <row r="56" spans="1:12" x14ac:dyDescent="0.25">
      <c r="A56" s="21">
        <v>2014</v>
      </c>
      <c r="B56" t="s">
        <v>364</v>
      </c>
      <c r="C56" t="s">
        <v>377</v>
      </c>
      <c r="D56" t="s">
        <v>352</v>
      </c>
      <c r="E56" t="s">
        <v>390</v>
      </c>
      <c r="F56" t="s">
        <v>328</v>
      </c>
      <c r="G56" t="s">
        <v>403</v>
      </c>
      <c r="H56" t="s">
        <v>415</v>
      </c>
      <c r="I56" t="s">
        <v>295</v>
      </c>
      <c r="J56" t="s">
        <v>306</v>
      </c>
    </row>
    <row r="57" spans="1:12" x14ac:dyDescent="0.25">
      <c r="A57" s="21">
        <v>2015</v>
      </c>
      <c r="B57" t="s">
        <v>365</v>
      </c>
      <c r="C57" t="s">
        <v>378</v>
      </c>
      <c r="D57" t="s">
        <v>353</v>
      </c>
      <c r="E57" t="s">
        <v>391</v>
      </c>
      <c r="F57" t="s">
        <v>329</v>
      </c>
      <c r="G57" t="s">
        <v>404</v>
      </c>
      <c r="H57" t="s">
        <v>416</v>
      </c>
      <c r="I57" t="s">
        <v>296</v>
      </c>
      <c r="J57" t="s">
        <v>307</v>
      </c>
    </row>
    <row r="58" spans="1:12" x14ac:dyDescent="0.25">
      <c r="A58" s="21">
        <v>2016</v>
      </c>
      <c r="B58" t="s">
        <v>366</v>
      </c>
      <c r="C58" t="s">
        <v>379</v>
      </c>
      <c r="D58" t="s">
        <v>354</v>
      </c>
      <c r="E58" t="s">
        <v>392</v>
      </c>
      <c r="F58" t="s">
        <v>330</v>
      </c>
      <c r="G58" t="s">
        <v>405</v>
      </c>
      <c r="H58" t="s">
        <v>417</v>
      </c>
      <c r="I58" t="s">
        <v>297</v>
      </c>
      <c r="J58" t="s">
        <v>308</v>
      </c>
    </row>
    <row r="59" spans="1:12" x14ac:dyDescent="0.25">
      <c r="A59" s="21">
        <v>2017</v>
      </c>
      <c r="B59" t="s">
        <v>367</v>
      </c>
      <c r="C59" t="s">
        <v>380</v>
      </c>
      <c r="D59" t="s">
        <v>355</v>
      </c>
      <c r="E59" t="s">
        <v>393</v>
      </c>
      <c r="F59" t="s">
        <v>331</v>
      </c>
      <c r="G59" t="s">
        <v>406</v>
      </c>
      <c r="H59" t="s">
        <v>418</v>
      </c>
      <c r="I59" t="s">
        <v>298</v>
      </c>
      <c r="J59" t="s">
        <v>309</v>
      </c>
    </row>
    <row r="60" spans="1:12" x14ac:dyDescent="0.25">
      <c r="A60" s="21">
        <v>2018</v>
      </c>
      <c r="B60" t="s">
        <v>368</v>
      </c>
      <c r="C60" t="s">
        <v>381</v>
      </c>
      <c r="D60" t="s">
        <v>356</v>
      </c>
      <c r="E60" t="s">
        <v>394</v>
      </c>
      <c r="F60" t="s">
        <v>332</v>
      </c>
      <c r="G60" t="s">
        <v>407</v>
      </c>
      <c r="H60" t="s">
        <v>419</v>
      </c>
      <c r="I60" t="s">
        <v>299</v>
      </c>
      <c r="J60" t="s">
        <v>310</v>
      </c>
    </row>
    <row r="61" spans="1:12" x14ac:dyDescent="0.25">
      <c r="A61" s="21">
        <v>2019</v>
      </c>
      <c r="B61" t="s">
        <v>369</v>
      </c>
      <c r="C61" t="s">
        <v>382</v>
      </c>
      <c r="D61" t="s">
        <v>357</v>
      </c>
      <c r="E61" t="s">
        <v>395</v>
      </c>
      <c r="F61" t="s">
        <v>333</v>
      </c>
      <c r="G61" t="s">
        <v>408</v>
      </c>
      <c r="H61" t="s">
        <v>420</v>
      </c>
      <c r="I61" t="s">
        <v>300</v>
      </c>
      <c r="J61" t="s">
        <v>311</v>
      </c>
    </row>
    <row r="62" spans="1:12" x14ac:dyDescent="0.25">
      <c r="A62" s="21">
        <v>2020</v>
      </c>
      <c r="B62" t="s">
        <v>370</v>
      </c>
      <c r="C62" t="s">
        <v>383</v>
      </c>
      <c r="D62" t="s">
        <v>358</v>
      </c>
      <c r="E62" t="s">
        <v>396</v>
      </c>
      <c r="F62" t="s">
        <v>334</v>
      </c>
      <c r="G62" t="s">
        <v>409</v>
      </c>
      <c r="H62" t="s">
        <v>421</v>
      </c>
      <c r="I62" t="s">
        <v>301</v>
      </c>
      <c r="J62" t="s">
        <v>312</v>
      </c>
    </row>
    <row r="63" spans="1:12" x14ac:dyDescent="0.25">
      <c r="A63" s="21">
        <v>2021</v>
      </c>
      <c r="B63" t="s">
        <v>371</v>
      </c>
      <c r="C63" t="s">
        <v>384</v>
      </c>
      <c r="D63" t="s">
        <v>359</v>
      </c>
      <c r="E63" t="s">
        <v>397</v>
      </c>
      <c r="F63" t="s">
        <v>335</v>
      </c>
      <c r="G63" t="s">
        <v>410</v>
      </c>
      <c r="H63" t="s">
        <v>422</v>
      </c>
      <c r="I63" t="s">
        <v>302</v>
      </c>
      <c r="J63" t="s">
        <v>313</v>
      </c>
    </row>
    <row r="64" spans="1:12" x14ac:dyDescent="0.25">
      <c r="B64" s="111" t="s">
        <v>432</v>
      </c>
      <c r="C64" s="111"/>
      <c r="D64" s="111"/>
      <c r="E64" s="111"/>
      <c r="F64" s="111"/>
      <c r="G64" s="111"/>
      <c r="H64" s="111"/>
      <c r="I64" s="111"/>
      <c r="J64" s="111"/>
    </row>
    <row r="65" spans="1:11" x14ac:dyDescent="0.25">
      <c r="A65" s="21">
        <v>2012</v>
      </c>
      <c r="C65" t="s">
        <v>338</v>
      </c>
      <c r="D65" t="s">
        <v>349</v>
      </c>
      <c r="E65" t="s">
        <v>314</v>
      </c>
      <c r="F65" t="s">
        <v>325</v>
      </c>
      <c r="I65" t="s">
        <v>292</v>
      </c>
      <c r="J65" t="s">
        <v>303</v>
      </c>
    </row>
    <row r="66" spans="1:11" x14ac:dyDescent="0.25">
      <c r="A66" s="21">
        <v>2013</v>
      </c>
      <c r="C66" t="s">
        <v>339</v>
      </c>
      <c r="D66" t="s">
        <v>350</v>
      </c>
      <c r="E66" t="s">
        <v>315</v>
      </c>
      <c r="F66" t="s">
        <v>326</v>
      </c>
      <c r="I66" t="s">
        <v>293</v>
      </c>
      <c r="J66" t="s">
        <v>304</v>
      </c>
    </row>
    <row r="67" spans="1:11" x14ac:dyDescent="0.25">
      <c r="A67" s="21">
        <v>2014</v>
      </c>
      <c r="C67" t="s">
        <v>340</v>
      </c>
      <c r="D67" t="s">
        <v>351</v>
      </c>
      <c r="E67" t="s">
        <v>316</v>
      </c>
      <c r="F67" t="s">
        <v>327</v>
      </c>
      <c r="I67" t="s">
        <v>294</v>
      </c>
      <c r="J67" t="s">
        <v>305</v>
      </c>
    </row>
    <row r="68" spans="1:11" x14ac:dyDescent="0.25">
      <c r="A68" s="21">
        <v>2015</v>
      </c>
      <c r="C68" t="s">
        <v>341</v>
      </c>
      <c r="D68" t="s">
        <v>352</v>
      </c>
      <c r="E68" t="s">
        <v>317</v>
      </c>
      <c r="F68" t="s">
        <v>328</v>
      </c>
      <c r="I68" t="s">
        <v>295</v>
      </c>
      <c r="J68" t="s">
        <v>306</v>
      </c>
    </row>
    <row r="69" spans="1:11" x14ac:dyDescent="0.25">
      <c r="A69" s="21">
        <v>2016</v>
      </c>
      <c r="C69" t="s">
        <v>342</v>
      </c>
      <c r="D69" t="s">
        <v>353</v>
      </c>
      <c r="E69" t="s">
        <v>318</v>
      </c>
      <c r="F69" t="s">
        <v>329</v>
      </c>
      <c r="I69" t="s">
        <v>296</v>
      </c>
      <c r="J69" t="s">
        <v>307</v>
      </c>
    </row>
    <row r="70" spans="1:11" x14ac:dyDescent="0.25">
      <c r="A70" s="21">
        <v>2017</v>
      </c>
      <c r="C70" t="s">
        <v>343</v>
      </c>
      <c r="D70" t="s">
        <v>354</v>
      </c>
      <c r="E70" t="s">
        <v>319</v>
      </c>
      <c r="F70" t="s">
        <v>330</v>
      </c>
      <c r="I70" t="s">
        <v>297</v>
      </c>
      <c r="J70" t="s">
        <v>308</v>
      </c>
    </row>
    <row r="71" spans="1:11" x14ac:dyDescent="0.25">
      <c r="A71" s="21">
        <v>2018</v>
      </c>
      <c r="C71" t="s">
        <v>344</v>
      </c>
      <c r="D71" t="s">
        <v>355</v>
      </c>
      <c r="E71" t="s">
        <v>320</v>
      </c>
      <c r="F71" t="s">
        <v>331</v>
      </c>
      <c r="I71" t="s">
        <v>298</v>
      </c>
      <c r="J71" t="s">
        <v>309</v>
      </c>
    </row>
    <row r="72" spans="1:11" x14ac:dyDescent="0.25">
      <c r="A72" s="21">
        <v>2019</v>
      </c>
      <c r="C72" t="s">
        <v>345</v>
      </c>
      <c r="D72" t="s">
        <v>356</v>
      </c>
      <c r="E72" t="s">
        <v>321</v>
      </c>
      <c r="F72" t="s">
        <v>332</v>
      </c>
      <c r="I72" t="s">
        <v>299</v>
      </c>
      <c r="J72" t="s">
        <v>310</v>
      </c>
    </row>
    <row r="73" spans="1:11" x14ac:dyDescent="0.25">
      <c r="A73" s="21">
        <v>2020</v>
      </c>
      <c r="C73" t="s">
        <v>346</v>
      </c>
      <c r="D73" t="s">
        <v>357</v>
      </c>
      <c r="E73" t="s">
        <v>322</v>
      </c>
      <c r="F73" t="s">
        <v>333</v>
      </c>
      <c r="I73" t="s">
        <v>300</v>
      </c>
      <c r="J73" t="s">
        <v>311</v>
      </c>
    </row>
    <row r="74" spans="1:11" x14ac:dyDescent="0.25">
      <c r="A74" s="21">
        <v>2021</v>
      </c>
      <c r="C74" t="s">
        <v>347</v>
      </c>
      <c r="D74" t="s">
        <v>358</v>
      </c>
      <c r="E74" t="s">
        <v>323</v>
      </c>
      <c r="F74" t="s">
        <v>334</v>
      </c>
      <c r="I74" t="s">
        <v>301</v>
      </c>
      <c r="J74" t="s">
        <v>312</v>
      </c>
    </row>
    <row r="75" spans="1:11" x14ac:dyDescent="0.25">
      <c r="C75" t="s">
        <v>348</v>
      </c>
      <c r="D75" t="s">
        <v>359</v>
      </c>
      <c r="E75" t="s">
        <v>324</v>
      </c>
      <c r="F75" t="s">
        <v>335</v>
      </c>
      <c r="I75" t="s">
        <v>302</v>
      </c>
      <c r="J75" t="s">
        <v>313</v>
      </c>
    </row>
    <row r="77" spans="1:11" x14ac:dyDescent="0.25">
      <c r="K77" t="s">
        <v>252</v>
      </c>
    </row>
    <row r="78" spans="1:11" x14ac:dyDescent="0.25">
      <c r="F78" t="s">
        <v>78</v>
      </c>
      <c r="H78" t="s">
        <v>61</v>
      </c>
      <c r="I78" t="s">
        <v>67</v>
      </c>
      <c r="J78" t="s">
        <v>231</v>
      </c>
      <c r="K78">
        <f>I79/J79</f>
        <v>0.10812943962115233</v>
      </c>
    </row>
    <row r="79" spans="1:11" x14ac:dyDescent="0.25">
      <c r="A79">
        <v>2009</v>
      </c>
      <c r="F79" s="24">
        <v>594054.63531789614</v>
      </c>
      <c r="G79" t="s">
        <v>243</v>
      </c>
      <c r="H79">
        <f>0.113</f>
        <v>0.113</v>
      </c>
      <c r="I79">
        <v>1.37E-2</v>
      </c>
      <c r="J79">
        <f>H79+I79</f>
        <v>0.12670000000000001</v>
      </c>
      <c r="K79">
        <f>H79/J79</f>
        <v>0.8918705603788476</v>
      </c>
    </row>
    <row r="80" spans="1:11" x14ac:dyDescent="0.25">
      <c r="A80" s="21">
        <v>2010</v>
      </c>
      <c r="B80" t="str">
        <f>SUBSTITUTE(C80,",",".")</f>
        <v/>
      </c>
      <c r="F80" s="99" t="s">
        <v>241</v>
      </c>
      <c r="G80" s="97" t="s">
        <v>242</v>
      </c>
      <c r="H80" t="s">
        <v>244</v>
      </c>
    </row>
    <row r="81" spans="1:15" x14ac:dyDescent="0.25">
      <c r="A81" s="21">
        <v>2011</v>
      </c>
      <c r="B81" t="str">
        <f t="shared" ref="B81:B91" si="25">SUBSTITUTE(C81,",",".")</f>
        <v>4.60517018598809</v>
      </c>
      <c r="C81">
        <v>4.6051701859880918</v>
      </c>
      <c r="E81">
        <v>2022</v>
      </c>
      <c r="F81" s="98">
        <v>552.90023427478013</v>
      </c>
      <c r="G81" s="98">
        <v>368.8493610238412</v>
      </c>
      <c r="H81" t="s">
        <v>241</v>
      </c>
      <c r="I81" t="s">
        <v>245</v>
      </c>
      <c r="J81" t="s">
        <v>246</v>
      </c>
      <c r="N81" t="s">
        <v>253</v>
      </c>
      <c r="O81">
        <f>J79*F79*0.75</f>
        <v>56450.041721083078</v>
      </c>
    </row>
    <row r="82" spans="1:15" x14ac:dyDescent="0.25">
      <c r="A82" s="21">
        <v>2012</v>
      </c>
      <c r="B82" t="str">
        <f t="shared" si="25"/>
        <v>4.63448674984461</v>
      </c>
      <c r="C82">
        <v>4.6344867498446112</v>
      </c>
      <c r="E82">
        <v>2023</v>
      </c>
      <c r="F82" s="98">
        <v>1547.5625793483016</v>
      </c>
      <c r="G82" s="98">
        <v>504.47744320784307</v>
      </c>
      <c r="H82" s="100">
        <f>(F82/$F$79)/$H$79</f>
        <v>2.3053845977820692E-2</v>
      </c>
      <c r="I82" s="100">
        <f>(G82/$F$79)/$H$79</f>
        <v>7.5151373070134597E-3</v>
      </c>
      <c r="J82" s="101">
        <f>H82+I82</f>
        <v>3.056898328483415E-2</v>
      </c>
      <c r="O82" s="25">
        <f>F83+G83</f>
        <v>2970.7821784361913</v>
      </c>
    </row>
    <row r="83" spans="1:15" x14ac:dyDescent="0.25">
      <c r="A83" s="21">
        <v>2013</v>
      </c>
      <c r="B83" t="str">
        <f t="shared" si="25"/>
        <v>4.69062011033721</v>
      </c>
      <c r="C83">
        <v>4.6906201103372096</v>
      </c>
      <c r="E83">
        <v>2024</v>
      </c>
      <c r="F83" s="98">
        <v>2229.9251962497087</v>
      </c>
      <c r="G83" s="98">
        <v>740.85698218648247</v>
      </c>
      <c r="H83" s="100">
        <f t="shared" ref="H83:H90" si="26">(F83/$F$79)/$H$79</f>
        <v>3.3218916444756032E-2</v>
      </c>
      <c r="I83" s="100">
        <f t="shared" ref="I83:I90" si="27">(G83/$F$79)/$H$79</f>
        <v>1.1036453702642935E-2</v>
      </c>
      <c r="J83" s="101">
        <f t="shared" ref="J83:J90" si="28">H83+I83</f>
        <v>4.425537014739897E-2</v>
      </c>
      <c r="M83" t="s">
        <v>254</v>
      </c>
      <c r="O83" s="25">
        <f>F84+G84</f>
        <v>3926.0815087708106</v>
      </c>
    </row>
    <row r="84" spans="1:15" x14ac:dyDescent="0.25">
      <c r="A84" s="21">
        <v>2014</v>
      </c>
      <c r="B84" t="str">
        <f t="shared" si="25"/>
        <v>4.67549331515624</v>
      </c>
      <c r="C84">
        <v>4.675493315156241</v>
      </c>
      <c r="E84">
        <v>2025</v>
      </c>
      <c r="F84" s="98">
        <v>2873.5681173294051</v>
      </c>
      <c r="G84" s="98">
        <v>1052.5133914414055</v>
      </c>
      <c r="H84" s="100">
        <f t="shared" si="26"/>
        <v>4.2807184451038906E-2</v>
      </c>
      <c r="I84" s="100">
        <f t="shared" si="27"/>
        <v>1.5679160209535397E-2</v>
      </c>
      <c r="J84" s="101">
        <f t="shared" si="28"/>
        <v>5.8486344660574299E-2</v>
      </c>
      <c r="L84">
        <v>2024</v>
      </c>
      <c r="M84" s="103">
        <f>O82/$O$81/0.9</f>
        <v>5.8474165589828223E-2</v>
      </c>
      <c r="O84" s="25">
        <f t="shared" ref="O84:O89" si="29">F85+G85</f>
        <v>4991.2499445313442</v>
      </c>
    </row>
    <row r="85" spans="1:15" x14ac:dyDescent="0.25">
      <c r="A85" s="21">
        <v>2015</v>
      </c>
      <c r="B85" t="str">
        <f t="shared" si="25"/>
        <v>4.60224955595745</v>
      </c>
      <c r="C85">
        <v>4.602249555957445</v>
      </c>
      <c r="E85">
        <v>2026</v>
      </c>
      <c r="F85" s="98">
        <v>3523.8599737349891</v>
      </c>
      <c r="G85" s="98">
        <v>1467.3899707963553</v>
      </c>
      <c r="H85" s="100">
        <f t="shared" si="26"/>
        <v>5.2494500814373714E-2</v>
      </c>
      <c r="I85" s="100">
        <f t="shared" si="27"/>
        <v>2.185952466644922E-2</v>
      </c>
      <c r="J85" s="101">
        <f t="shared" si="28"/>
        <v>7.4354025480822927E-2</v>
      </c>
      <c r="L85">
        <v>2025</v>
      </c>
      <c r="M85" s="103">
        <f t="shared" ref="M85:M91" si="30">O83/$O$81/0.9</f>
        <v>7.7277405906573088E-2</v>
      </c>
      <c r="O85" s="25">
        <f t="shared" si="29"/>
        <v>5947.0272767763026</v>
      </c>
    </row>
    <row r="86" spans="1:15" x14ac:dyDescent="0.25">
      <c r="A86" s="21">
        <v>2016</v>
      </c>
      <c r="B86" t="str">
        <f t="shared" si="25"/>
        <v>4.54517531471068</v>
      </c>
      <c r="C86">
        <v>4.5451753147106766</v>
      </c>
      <c r="E86">
        <v>2027</v>
      </c>
      <c r="F86" s="98">
        <v>4178.6750276824314</v>
      </c>
      <c r="G86" s="98">
        <v>1768.352249093871</v>
      </c>
      <c r="H86" s="100">
        <f t="shared" si="26"/>
        <v>6.2249198685150484E-2</v>
      </c>
      <c r="I86" s="100">
        <f t="shared" si="27"/>
        <v>2.634292204345659E-2</v>
      </c>
      <c r="J86" s="101">
        <f t="shared" si="28"/>
        <v>8.8592120728607074E-2</v>
      </c>
      <c r="L86">
        <v>2026</v>
      </c>
      <c r="M86" s="103">
        <f t="shared" si="30"/>
        <v>9.8243209440006918E-2</v>
      </c>
      <c r="O86" s="25">
        <f t="shared" si="29"/>
        <v>6478.2035705506296</v>
      </c>
    </row>
    <row r="87" spans="1:15" x14ac:dyDescent="0.25">
      <c r="A87" s="21">
        <v>2017</v>
      </c>
      <c r="B87" t="str">
        <f t="shared" si="25"/>
        <v>4.48481285532078</v>
      </c>
      <c r="C87">
        <v>4.4848128553207829</v>
      </c>
      <c r="E87">
        <v>2028</v>
      </c>
      <c r="F87" s="98">
        <v>4302.3098310563337</v>
      </c>
      <c r="G87" s="98">
        <v>2175.8937394942959</v>
      </c>
      <c r="H87" s="100">
        <f t="shared" si="26"/>
        <v>6.4090970870983741E-2</v>
      </c>
      <c r="I87" s="100">
        <f t="shared" si="27"/>
        <v>3.2414016598624369E-2</v>
      </c>
      <c r="J87" s="101">
        <f t="shared" si="28"/>
        <v>9.6504987469608117E-2</v>
      </c>
      <c r="L87">
        <v>2027</v>
      </c>
      <c r="M87" s="103">
        <f t="shared" si="30"/>
        <v>0.11705585831018271</v>
      </c>
      <c r="O87" s="25">
        <f t="shared" si="29"/>
        <v>7197.5914224399767</v>
      </c>
    </row>
    <row r="88" spans="1:15" x14ac:dyDescent="0.25">
      <c r="A88" s="21">
        <v>2018</v>
      </c>
      <c r="B88" t="str">
        <f t="shared" si="25"/>
        <v>4.45972794875553</v>
      </c>
      <c r="C88">
        <v>4.4597279487555319</v>
      </c>
      <c r="E88">
        <v>2029</v>
      </c>
      <c r="F88" s="98">
        <v>4336.3590773653268</v>
      </c>
      <c r="G88" s="98">
        <v>2861.2323450746494</v>
      </c>
      <c r="H88" s="100">
        <f t="shared" si="26"/>
        <v>6.4598198230021456E-2</v>
      </c>
      <c r="I88" s="100">
        <f t="shared" si="27"/>
        <v>4.2623419996293321E-2</v>
      </c>
      <c r="J88" s="101">
        <f t="shared" si="28"/>
        <v>0.10722161822631478</v>
      </c>
      <c r="L88">
        <v>2028</v>
      </c>
      <c r="M88" s="103">
        <f t="shared" si="30"/>
        <v>0.12751104778351566</v>
      </c>
      <c r="O88" s="25">
        <f t="shared" si="29"/>
        <v>8039.3117996913043</v>
      </c>
    </row>
    <row r="89" spans="1:15" x14ac:dyDescent="0.25">
      <c r="A89" s="21">
        <v>2019</v>
      </c>
      <c r="B89" t="str">
        <f t="shared" si="25"/>
        <v>4.45616511816638</v>
      </c>
      <c r="C89">
        <v>4.4561651181663775</v>
      </c>
      <c r="E89">
        <v>2030</v>
      </c>
      <c r="F89" s="98">
        <v>4339.1263861069438</v>
      </c>
      <c r="G89" s="98">
        <v>3700.18541358436</v>
      </c>
      <c r="H89" s="100">
        <f t="shared" si="26"/>
        <v>6.4639422481856987E-2</v>
      </c>
      <c r="I89" s="100">
        <f t="shared" si="27"/>
        <v>5.5121198814509324E-2</v>
      </c>
      <c r="J89" s="101">
        <f t="shared" si="28"/>
        <v>0.1197606212963663</v>
      </c>
      <c r="L89">
        <v>2029</v>
      </c>
      <c r="M89" s="103">
        <f t="shared" si="30"/>
        <v>0.14167082182552629</v>
      </c>
      <c r="O89" s="25">
        <f t="shared" si="29"/>
        <v>8743.3961939892761</v>
      </c>
    </row>
    <row r="90" spans="1:15" x14ac:dyDescent="0.25">
      <c r="A90" s="21">
        <v>2020</v>
      </c>
      <c r="B90" t="str">
        <f t="shared" si="25"/>
        <v>4.40577059434142</v>
      </c>
      <c r="C90">
        <v>4.4057705943414245</v>
      </c>
      <c r="E90">
        <v>2031</v>
      </c>
      <c r="F90" s="98">
        <v>4309.882022433063</v>
      </c>
      <c r="G90" s="98">
        <v>4433.5141715562131</v>
      </c>
      <c r="H90" s="100">
        <f t="shared" si="26"/>
        <v>6.4203772857826316E-2</v>
      </c>
      <c r="I90" s="100">
        <f t="shared" si="27"/>
        <v>6.6045505503618457E-2</v>
      </c>
      <c r="J90" s="101">
        <f t="shared" si="28"/>
        <v>0.13024927836144479</v>
      </c>
      <c r="L90">
        <v>2030</v>
      </c>
      <c r="M90" s="103">
        <f t="shared" si="30"/>
        <v>0.15823847766949509</v>
      </c>
      <c r="O90" s="25"/>
    </row>
    <row r="91" spans="1:15" x14ac:dyDescent="0.25">
      <c r="A91" s="21">
        <v>2021</v>
      </c>
      <c r="B91" t="str">
        <f t="shared" si="25"/>
        <v>4.4959192521689</v>
      </c>
      <c r="C91">
        <v>4.4959192521688962</v>
      </c>
      <c r="L91">
        <v>2031</v>
      </c>
      <c r="M91" s="103">
        <f t="shared" si="30"/>
        <v>0.1720970324165367</v>
      </c>
      <c r="O91" s="25"/>
    </row>
    <row r="92" spans="1:15" x14ac:dyDescent="0.25">
      <c r="F92" s="99" t="s">
        <v>241</v>
      </c>
      <c r="G92" s="97" t="s">
        <v>242</v>
      </c>
      <c r="H92" t="s">
        <v>244</v>
      </c>
      <c r="O92" s="25"/>
    </row>
    <row r="93" spans="1:15" x14ac:dyDescent="0.25">
      <c r="E93">
        <v>2022</v>
      </c>
      <c r="F93" s="98"/>
      <c r="G93" s="98"/>
      <c r="H93" t="s">
        <v>241</v>
      </c>
      <c r="I93" t="s">
        <v>245</v>
      </c>
      <c r="J93" t="s">
        <v>246</v>
      </c>
    </row>
    <row r="94" spans="1:15" x14ac:dyDescent="0.25">
      <c r="E94">
        <v>2023</v>
      </c>
      <c r="F94" s="98"/>
      <c r="G94" s="98"/>
      <c r="H94" s="100">
        <f>(F94/$F$79)/$H$79</f>
        <v>0</v>
      </c>
      <c r="I94" s="100">
        <f>(G94/$F$79)/$H$79</f>
        <v>0</v>
      </c>
      <c r="J94" s="101">
        <f>H94+I94</f>
        <v>0</v>
      </c>
    </row>
    <row r="95" spans="1:15" x14ac:dyDescent="0.25">
      <c r="E95">
        <v>2024</v>
      </c>
      <c r="F95" s="98">
        <f>F83*1.1</f>
        <v>2452.9177158746797</v>
      </c>
      <c r="G95" s="98">
        <v>740.85698218648247</v>
      </c>
      <c r="H95" s="100">
        <f t="shared" ref="H95:H102" si="31">(F95/$F$79)/$H$79</f>
        <v>3.6540808089231644E-2</v>
      </c>
      <c r="I95" s="100">
        <f t="shared" ref="I95:I102" si="32">(G95/$F$79)/$H$79</f>
        <v>1.1036453702642935E-2</v>
      </c>
      <c r="J95" s="101">
        <f t="shared" ref="J95:J102" si="33">H95+I95</f>
        <v>4.7577261791874575E-2</v>
      </c>
    </row>
    <row r="96" spans="1:15" x14ac:dyDescent="0.25">
      <c r="E96">
        <v>2025</v>
      </c>
      <c r="F96" s="98">
        <f t="shared" ref="F96:F102" si="34">F84*1.1</f>
        <v>3160.9249290623461</v>
      </c>
      <c r="G96" s="98">
        <v>1052.5133914414055</v>
      </c>
      <c r="H96" s="100">
        <f t="shared" si="31"/>
        <v>4.7087902896142807E-2</v>
      </c>
      <c r="I96" s="100">
        <f t="shared" si="32"/>
        <v>1.5679160209535397E-2</v>
      </c>
      <c r="J96" s="101">
        <f t="shared" si="33"/>
        <v>6.27670631056782E-2</v>
      </c>
      <c r="K96" s="101"/>
    </row>
    <row r="97" spans="5:14" x14ac:dyDescent="0.25">
      <c r="E97">
        <v>2026</v>
      </c>
      <c r="F97" s="98">
        <f t="shared" si="34"/>
        <v>3876.2459711084884</v>
      </c>
      <c r="G97" s="98">
        <v>1467.3899707963553</v>
      </c>
      <c r="H97" s="100">
        <f t="shared" si="31"/>
        <v>5.7743950895811094E-2</v>
      </c>
      <c r="I97" s="100">
        <f t="shared" si="32"/>
        <v>2.185952466644922E-2</v>
      </c>
      <c r="J97" s="101">
        <f t="shared" si="33"/>
        <v>7.9603475562260315E-2</v>
      </c>
      <c r="K97" s="101"/>
    </row>
    <row r="98" spans="5:14" x14ac:dyDescent="0.25">
      <c r="E98">
        <v>2027</v>
      </c>
      <c r="F98" s="98">
        <f t="shared" si="34"/>
        <v>4596.5425304506753</v>
      </c>
      <c r="G98" s="98">
        <v>1768.352249093871</v>
      </c>
      <c r="H98" s="100">
        <f t="shared" si="31"/>
        <v>6.8474118553665544E-2</v>
      </c>
      <c r="I98" s="100">
        <f t="shared" si="32"/>
        <v>2.634292204345659E-2</v>
      </c>
      <c r="J98" s="101">
        <f t="shared" si="33"/>
        <v>9.4817040597122135E-2</v>
      </c>
      <c r="K98" s="101"/>
    </row>
    <row r="99" spans="5:14" x14ac:dyDescent="0.25">
      <c r="E99">
        <v>2028</v>
      </c>
      <c r="F99" s="98">
        <f t="shared" si="34"/>
        <v>4732.5408141619673</v>
      </c>
      <c r="G99" s="98">
        <v>2175.8937394942959</v>
      </c>
      <c r="H99" s="100">
        <f t="shared" si="31"/>
        <v>7.0500067958082127E-2</v>
      </c>
      <c r="I99" s="100">
        <f t="shared" si="32"/>
        <v>3.2414016598624369E-2</v>
      </c>
      <c r="J99" s="101">
        <f t="shared" si="33"/>
        <v>0.1029140845567065</v>
      </c>
      <c r="K99" s="101"/>
    </row>
    <row r="100" spans="5:14" x14ac:dyDescent="0.25">
      <c r="E100">
        <v>2029</v>
      </c>
      <c r="F100" s="98">
        <f t="shared" si="34"/>
        <v>4769.99498510186</v>
      </c>
      <c r="G100" s="98">
        <v>2861.2323450746494</v>
      </c>
      <c r="H100" s="100">
        <f t="shared" si="31"/>
        <v>7.10580180530236E-2</v>
      </c>
      <c r="I100" s="100">
        <f t="shared" si="32"/>
        <v>4.2623419996293321E-2</v>
      </c>
      <c r="J100" s="101">
        <f t="shared" si="33"/>
        <v>0.11368143804931692</v>
      </c>
      <c r="K100" s="101"/>
    </row>
    <row r="101" spans="5:14" x14ac:dyDescent="0.25">
      <c r="E101">
        <v>2030</v>
      </c>
      <c r="F101" s="98">
        <f t="shared" si="34"/>
        <v>4773.0390247176383</v>
      </c>
      <c r="G101" s="98">
        <v>3700.18541358436</v>
      </c>
      <c r="H101" s="100">
        <f t="shared" si="31"/>
        <v>7.1103364730042681E-2</v>
      </c>
      <c r="I101" s="100">
        <f t="shared" si="32"/>
        <v>5.5121198814509324E-2</v>
      </c>
      <c r="J101" s="101">
        <f t="shared" si="33"/>
        <v>0.126224563544552</v>
      </c>
      <c r="K101" s="101"/>
    </row>
    <row r="102" spans="5:14" x14ac:dyDescent="0.25">
      <c r="E102">
        <v>2031</v>
      </c>
      <c r="F102" s="98">
        <f t="shared" si="34"/>
        <v>4740.8702246763696</v>
      </c>
      <c r="G102" s="98">
        <v>4433.5141715562131</v>
      </c>
      <c r="H102" s="100">
        <f t="shared" si="31"/>
        <v>7.0624150143608955E-2</v>
      </c>
      <c r="I102" s="100">
        <f t="shared" si="32"/>
        <v>6.6045505503618457E-2</v>
      </c>
      <c r="J102" s="101">
        <f t="shared" si="33"/>
        <v>0.13666965564722741</v>
      </c>
      <c r="K102" s="101"/>
    </row>
    <row r="105" spans="5:14" x14ac:dyDescent="0.25">
      <c r="F105" t="s">
        <v>78</v>
      </c>
      <c r="H105" t="s">
        <v>67</v>
      </c>
      <c r="K105" s="102"/>
      <c r="L105" s="102"/>
      <c r="M105" s="102"/>
      <c r="N105" s="102"/>
    </row>
    <row r="106" spans="5:14" x14ac:dyDescent="0.25">
      <c r="F106">
        <v>594054.63531789614</v>
      </c>
      <c r="G106" t="s">
        <v>243</v>
      </c>
      <c r="H106">
        <v>1.37E-2</v>
      </c>
    </row>
    <row r="107" spans="5:14" x14ac:dyDescent="0.25">
      <c r="F107" s="99" t="s">
        <v>241</v>
      </c>
      <c r="G107" s="97" t="s">
        <v>242</v>
      </c>
      <c r="H107" t="s">
        <v>244</v>
      </c>
    </row>
    <row r="108" spans="5:14" x14ac:dyDescent="0.25">
      <c r="E108">
        <v>2022</v>
      </c>
      <c r="F108" s="98"/>
      <c r="G108" s="98"/>
      <c r="H108" t="s">
        <v>241</v>
      </c>
      <c r="I108" t="s">
        <v>245</v>
      </c>
      <c r="J108" t="s">
        <v>246</v>
      </c>
    </row>
    <row r="109" spans="5:14" x14ac:dyDescent="0.25">
      <c r="E109">
        <v>2023</v>
      </c>
      <c r="F109" s="98"/>
      <c r="G109" s="98"/>
      <c r="H109" s="100">
        <f>(F109/$F$79)/$H$106</f>
        <v>0</v>
      </c>
      <c r="I109" s="100">
        <f>(G109/$F$79)/$H$106</f>
        <v>0</v>
      </c>
      <c r="J109" s="101">
        <f>H109+I109</f>
        <v>0</v>
      </c>
    </row>
    <row r="110" spans="5:14" x14ac:dyDescent="0.25">
      <c r="E110">
        <v>2024</v>
      </c>
      <c r="F110" s="98">
        <v>2229.9251962497087</v>
      </c>
      <c r="G110" s="98">
        <v>740.85698218648247</v>
      </c>
      <c r="H110" s="100">
        <f t="shared" ref="H110:H117" si="35">(F110/$F$79)/$H$106</f>
        <v>0.27399544220857169</v>
      </c>
      <c r="I110" s="100">
        <f t="shared" ref="I110:I117" si="36">(G110/$F$79)/$H$106</f>
        <v>9.1030603532748292E-2</v>
      </c>
      <c r="J110" s="101">
        <f t="shared" ref="J110:J117" si="37">H110+I110</f>
        <v>0.36502604574131997</v>
      </c>
    </row>
    <row r="111" spans="5:14" x14ac:dyDescent="0.25">
      <c r="E111">
        <v>2025</v>
      </c>
      <c r="F111" s="98">
        <v>2873.5681173294051</v>
      </c>
      <c r="G111" s="98">
        <v>1052.5133914414055</v>
      </c>
      <c r="H111" s="100">
        <f t="shared" si="35"/>
        <v>0.35308115642097782</v>
      </c>
      <c r="I111" s="100">
        <f t="shared" si="36"/>
        <v>0.12932446012244525</v>
      </c>
      <c r="J111" s="101">
        <f t="shared" si="37"/>
        <v>0.48240561654342307</v>
      </c>
    </row>
    <row r="112" spans="5:14" x14ac:dyDescent="0.25">
      <c r="E112">
        <v>2026</v>
      </c>
      <c r="F112" s="98">
        <v>3523.8599737349891</v>
      </c>
      <c r="G112" s="98">
        <v>1467.3899707963553</v>
      </c>
      <c r="H112" s="100">
        <f t="shared" si="35"/>
        <v>0.43298383883388536</v>
      </c>
      <c r="I112" s="100">
        <f t="shared" si="36"/>
        <v>0.18030118885465415</v>
      </c>
      <c r="J112" s="101">
        <f t="shared" si="37"/>
        <v>0.61328502768853954</v>
      </c>
    </row>
    <row r="113" spans="5:10" x14ac:dyDescent="0.25">
      <c r="E113">
        <v>2027</v>
      </c>
      <c r="F113" s="98">
        <v>4178.6750276824314</v>
      </c>
      <c r="G113" s="98">
        <v>1768.352249093871</v>
      </c>
      <c r="H113" s="100">
        <f t="shared" si="35"/>
        <v>0.51344229572423394</v>
      </c>
      <c r="I113" s="100">
        <f t="shared" si="36"/>
        <v>0.21728103583289013</v>
      </c>
      <c r="J113" s="101">
        <f t="shared" si="37"/>
        <v>0.7307233315571241</v>
      </c>
    </row>
    <row r="114" spans="5:10" x14ac:dyDescent="0.25">
      <c r="E114">
        <v>2028</v>
      </c>
      <c r="F114" s="98">
        <v>4302.3098310563337</v>
      </c>
      <c r="G114" s="98">
        <v>2175.8937394942959</v>
      </c>
      <c r="H114" s="100">
        <f t="shared" si="35"/>
        <v>0.52863355535920897</v>
      </c>
      <c r="I114" s="100">
        <f t="shared" si="36"/>
        <v>0.26735648727332512</v>
      </c>
      <c r="J114" s="101">
        <f t="shared" si="37"/>
        <v>0.79599004263253414</v>
      </c>
    </row>
    <row r="115" spans="5:10" x14ac:dyDescent="0.25">
      <c r="E115">
        <v>2029</v>
      </c>
      <c r="F115" s="98">
        <v>4336.3590773653268</v>
      </c>
      <c r="G115" s="98">
        <v>2861.2323450746494</v>
      </c>
      <c r="H115" s="100">
        <f t="shared" si="35"/>
        <v>0.53281725547389958</v>
      </c>
      <c r="I115" s="100">
        <f t="shared" si="36"/>
        <v>0.35156543500592297</v>
      </c>
      <c r="J115" s="101">
        <f t="shared" si="37"/>
        <v>0.88438269047982254</v>
      </c>
    </row>
    <row r="116" spans="5:10" x14ac:dyDescent="0.25">
      <c r="E116">
        <v>2030</v>
      </c>
      <c r="F116" s="98">
        <v>4339.1263861069438</v>
      </c>
      <c r="G116" s="98">
        <v>3700.18541358436</v>
      </c>
      <c r="H116" s="100">
        <f t="shared" si="35"/>
        <v>0.5331572803248058</v>
      </c>
      <c r="I116" s="100">
        <f t="shared" si="36"/>
        <v>0.45464930409047832</v>
      </c>
      <c r="J116" s="101">
        <f t="shared" si="37"/>
        <v>0.98780658441528413</v>
      </c>
    </row>
    <row r="117" spans="5:10" x14ac:dyDescent="0.25">
      <c r="E117">
        <v>2031</v>
      </c>
      <c r="F117" s="98">
        <v>4309.882022433063</v>
      </c>
      <c r="G117" s="98">
        <v>4433.5141715562131</v>
      </c>
      <c r="H117" s="100">
        <f t="shared" si="35"/>
        <v>0.52956396590761856</v>
      </c>
      <c r="I117" s="100">
        <f t="shared" si="36"/>
        <v>0.5447548994094078</v>
      </c>
      <c r="J117" s="101">
        <f t="shared" si="37"/>
        <v>1.0743188653170264</v>
      </c>
    </row>
    <row r="119" spans="5:10" x14ac:dyDescent="0.25">
      <c r="F119" t="s">
        <v>78</v>
      </c>
      <c r="H119" t="s">
        <v>67</v>
      </c>
    </row>
    <row r="120" spans="5:10" x14ac:dyDescent="0.25">
      <c r="F120">
        <v>594054.63531789614</v>
      </c>
      <c r="G120" t="s">
        <v>243</v>
      </c>
      <c r="H120">
        <v>1.37E-2</v>
      </c>
    </row>
    <row r="121" spans="5:10" x14ac:dyDescent="0.25">
      <c r="F121" s="99" t="s">
        <v>241</v>
      </c>
      <c r="G121" s="97" t="s">
        <v>242</v>
      </c>
      <c r="H121" t="s">
        <v>244</v>
      </c>
    </row>
    <row r="122" spans="5:10" x14ac:dyDescent="0.25">
      <c r="E122">
        <v>2022</v>
      </c>
      <c r="F122" s="98"/>
      <c r="G122" s="98"/>
      <c r="H122" t="s">
        <v>241</v>
      </c>
      <c r="I122" t="s">
        <v>245</v>
      </c>
      <c r="J122" t="s">
        <v>246</v>
      </c>
    </row>
    <row r="123" spans="5:10" x14ac:dyDescent="0.25">
      <c r="E123">
        <v>2023</v>
      </c>
      <c r="F123" s="98"/>
      <c r="G123" s="98"/>
      <c r="H123" s="100">
        <f>(F123/$F$79)/$H$106</f>
        <v>0</v>
      </c>
      <c r="I123" s="100">
        <f>(G123/$F$79)/$H$106</f>
        <v>0</v>
      </c>
      <c r="J123" s="101">
        <f>H123+I123</f>
        <v>0</v>
      </c>
    </row>
    <row r="124" spans="5:10" x14ac:dyDescent="0.25">
      <c r="E124">
        <v>2024</v>
      </c>
      <c r="F124" s="98">
        <f>F110*1.1</f>
        <v>2452.9177158746797</v>
      </c>
      <c r="G124" s="98">
        <v>740.85698218648247</v>
      </c>
      <c r="H124" s="100">
        <f t="shared" ref="H124:H131" si="38">(F124/$F$79)/$H$106</f>
        <v>0.30139498642942886</v>
      </c>
      <c r="I124" s="100">
        <f t="shared" ref="I124:I131" si="39">(G124/$F$79)/$H$106</f>
        <v>9.1030603532748292E-2</v>
      </c>
      <c r="J124" s="101">
        <f t="shared" ref="J124:J131" si="40">H124+I124</f>
        <v>0.39242558996217713</v>
      </c>
    </row>
    <row r="125" spans="5:10" x14ac:dyDescent="0.25">
      <c r="E125">
        <v>2025</v>
      </c>
      <c r="F125" s="98">
        <f t="shared" ref="F125:F131" si="41">F111*1.1</f>
        <v>3160.9249290623461</v>
      </c>
      <c r="G125" s="98">
        <v>1052.5133914414055</v>
      </c>
      <c r="H125" s="100">
        <f t="shared" si="38"/>
        <v>0.38838927206307566</v>
      </c>
      <c r="I125" s="100">
        <f t="shared" si="39"/>
        <v>0.12932446012244525</v>
      </c>
      <c r="J125" s="101">
        <f t="shared" si="40"/>
        <v>0.51771373218552097</v>
      </c>
    </row>
    <row r="126" spans="5:10" x14ac:dyDescent="0.25">
      <c r="E126">
        <v>2026</v>
      </c>
      <c r="F126" s="98">
        <f t="shared" si="41"/>
        <v>3876.2459711084884</v>
      </c>
      <c r="G126" s="98">
        <v>1467.3899707963553</v>
      </c>
      <c r="H126" s="100">
        <f t="shared" si="38"/>
        <v>0.476282222717274</v>
      </c>
      <c r="I126" s="100">
        <f t="shared" si="39"/>
        <v>0.18030118885465415</v>
      </c>
      <c r="J126" s="101">
        <f t="shared" si="40"/>
        <v>0.65658341157192812</v>
      </c>
    </row>
    <row r="127" spans="5:10" x14ac:dyDescent="0.25">
      <c r="E127">
        <v>2027</v>
      </c>
      <c r="F127" s="98">
        <f t="shared" si="41"/>
        <v>4596.5425304506753</v>
      </c>
      <c r="G127" s="98">
        <v>1768.352249093871</v>
      </c>
      <c r="H127" s="100">
        <f t="shared" si="38"/>
        <v>0.5647865252966574</v>
      </c>
      <c r="I127" s="100">
        <f t="shared" si="39"/>
        <v>0.21728103583289013</v>
      </c>
      <c r="J127" s="101">
        <f t="shared" si="40"/>
        <v>0.78206756112954756</v>
      </c>
    </row>
    <row r="128" spans="5:10" x14ac:dyDescent="0.25">
      <c r="E128">
        <v>2028</v>
      </c>
      <c r="F128" s="98">
        <f t="shared" si="41"/>
        <v>4732.5408141619673</v>
      </c>
      <c r="G128" s="98">
        <v>2175.8937394942959</v>
      </c>
      <c r="H128" s="100">
        <f t="shared" si="38"/>
        <v>0.58149691089512989</v>
      </c>
      <c r="I128" s="100">
        <f t="shared" si="39"/>
        <v>0.26735648727332512</v>
      </c>
      <c r="J128" s="101">
        <f t="shared" si="40"/>
        <v>0.84885339816845495</v>
      </c>
    </row>
    <row r="129" spans="5:10" x14ac:dyDescent="0.25">
      <c r="E129">
        <v>2029</v>
      </c>
      <c r="F129" s="98">
        <f t="shared" si="41"/>
        <v>4769.99498510186</v>
      </c>
      <c r="G129" s="98">
        <v>2861.2323450746494</v>
      </c>
      <c r="H129" s="100">
        <f t="shared" si="38"/>
        <v>0.58609898102128954</v>
      </c>
      <c r="I129" s="100">
        <f t="shared" si="39"/>
        <v>0.35156543500592297</v>
      </c>
      <c r="J129" s="101">
        <f t="shared" si="40"/>
        <v>0.93766441602721251</v>
      </c>
    </row>
    <row r="130" spans="5:10" x14ac:dyDescent="0.25">
      <c r="E130">
        <v>2030</v>
      </c>
      <c r="F130" s="98">
        <f t="shared" si="41"/>
        <v>4773.0390247176383</v>
      </c>
      <c r="G130" s="98">
        <v>3700.18541358436</v>
      </c>
      <c r="H130" s="100">
        <f t="shared" si="38"/>
        <v>0.58647300835728633</v>
      </c>
      <c r="I130" s="100">
        <f t="shared" si="39"/>
        <v>0.45464930409047832</v>
      </c>
      <c r="J130" s="101">
        <f t="shared" si="40"/>
        <v>1.0411223124477647</v>
      </c>
    </row>
    <row r="131" spans="5:10" x14ac:dyDescent="0.25">
      <c r="E131">
        <v>2031</v>
      </c>
      <c r="F131" s="98">
        <f t="shared" si="41"/>
        <v>4740.8702246763696</v>
      </c>
      <c r="G131" s="98">
        <v>4433.5141715562131</v>
      </c>
      <c r="H131" s="100">
        <f t="shared" si="38"/>
        <v>0.58252036249838046</v>
      </c>
      <c r="I131" s="100">
        <f t="shared" si="39"/>
        <v>0.5447548994094078</v>
      </c>
      <c r="J131" s="101">
        <f t="shared" si="40"/>
        <v>1.1272752619077884</v>
      </c>
    </row>
  </sheetData>
  <mergeCells count="5">
    <mergeCell ref="B20:J20"/>
    <mergeCell ref="B36:J36"/>
    <mergeCell ref="B51:J51"/>
    <mergeCell ref="K20:S20"/>
    <mergeCell ref="B64:J6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CC85-FB1E-4B65-A516-8B368FF45C2A}">
  <dimension ref="A1:J13"/>
  <sheetViews>
    <sheetView workbookViewId="0">
      <selection activeCell="G21" sqref="G21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20.5703125" bestFit="1" customWidth="1"/>
    <col min="4" max="5" width="21.7109375" bestFit="1" customWidth="1"/>
    <col min="6" max="6" width="20.5703125" bestFit="1" customWidth="1"/>
    <col min="7" max="8" width="21.7109375" bestFit="1" customWidth="1"/>
    <col min="9" max="9" width="22.7109375" bestFit="1" customWidth="1"/>
    <col min="10" max="10" width="22" bestFit="1" customWidth="1"/>
  </cols>
  <sheetData>
    <row r="1" spans="1:10" x14ac:dyDescent="0.25"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  <c r="I1" t="s">
        <v>430</v>
      </c>
      <c r="J1" t="s">
        <v>431</v>
      </c>
    </row>
    <row r="2" spans="1:10" x14ac:dyDescent="0.25">
      <c r="A2">
        <v>2010</v>
      </c>
      <c r="D2" t="s">
        <v>386</v>
      </c>
      <c r="E2" t="s">
        <v>373</v>
      </c>
      <c r="F2" t="s">
        <v>398</v>
      </c>
      <c r="G2" t="s">
        <v>385</v>
      </c>
      <c r="H2" t="s">
        <v>411</v>
      </c>
      <c r="I2" t="s">
        <v>399</v>
      </c>
      <c r="J2" t="s">
        <v>360</v>
      </c>
    </row>
    <row r="3" spans="1:10" x14ac:dyDescent="0.25">
      <c r="A3">
        <v>2011</v>
      </c>
      <c r="B3" t="s">
        <v>292</v>
      </c>
      <c r="C3" t="s">
        <v>303</v>
      </c>
      <c r="D3" t="s">
        <v>387</v>
      </c>
      <c r="E3" t="s">
        <v>374</v>
      </c>
      <c r="F3" t="s">
        <v>325</v>
      </c>
      <c r="G3" t="s">
        <v>349</v>
      </c>
      <c r="H3" t="s">
        <v>412</v>
      </c>
      <c r="I3" t="s">
        <v>400</v>
      </c>
      <c r="J3" t="s">
        <v>361</v>
      </c>
    </row>
    <row r="4" spans="1:10" x14ac:dyDescent="0.25">
      <c r="A4">
        <v>2012</v>
      </c>
      <c r="B4" t="s">
        <v>293</v>
      </c>
      <c r="C4" t="s">
        <v>304</v>
      </c>
      <c r="D4" t="s">
        <v>388</v>
      </c>
      <c r="E4" t="s">
        <v>375</v>
      </c>
      <c r="F4" t="s">
        <v>326</v>
      </c>
      <c r="G4" t="s">
        <v>350</v>
      </c>
      <c r="H4" t="s">
        <v>413</v>
      </c>
      <c r="I4" t="s">
        <v>401</v>
      </c>
      <c r="J4" t="s">
        <v>362</v>
      </c>
    </row>
    <row r="5" spans="1:10" x14ac:dyDescent="0.25">
      <c r="A5">
        <v>2013</v>
      </c>
      <c r="B5" t="s">
        <v>294</v>
      </c>
      <c r="C5" t="s">
        <v>305</v>
      </c>
      <c r="D5" t="s">
        <v>389</v>
      </c>
      <c r="E5" t="s">
        <v>376</v>
      </c>
      <c r="F5" t="s">
        <v>327</v>
      </c>
      <c r="G5" t="s">
        <v>351</v>
      </c>
      <c r="H5" t="s">
        <v>414</v>
      </c>
      <c r="I5" t="s">
        <v>402</v>
      </c>
      <c r="J5" t="s">
        <v>363</v>
      </c>
    </row>
    <row r="6" spans="1:10" x14ac:dyDescent="0.25">
      <c r="A6">
        <v>2014</v>
      </c>
      <c r="B6" t="s">
        <v>295</v>
      </c>
      <c r="C6" t="s">
        <v>306</v>
      </c>
      <c r="D6" t="s">
        <v>390</v>
      </c>
      <c r="E6" t="s">
        <v>377</v>
      </c>
      <c r="F6" t="s">
        <v>328</v>
      </c>
      <c r="G6" t="s">
        <v>352</v>
      </c>
      <c r="H6" t="s">
        <v>415</v>
      </c>
      <c r="I6" t="s">
        <v>403</v>
      </c>
      <c r="J6" t="s">
        <v>364</v>
      </c>
    </row>
    <row r="7" spans="1:10" x14ac:dyDescent="0.25">
      <c r="A7">
        <v>2015</v>
      </c>
      <c r="B7" t="s">
        <v>296</v>
      </c>
      <c r="C7" t="s">
        <v>307</v>
      </c>
      <c r="D7" t="s">
        <v>391</v>
      </c>
      <c r="E7" t="s">
        <v>378</v>
      </c>
      <c r="F7" t="s">
        <v>329</v>
      </c>
      <c r="G7" t="s">
        <v>353</v>
      </c>
      <c r="H7" t="s">
        <v>416</v>
      </c>
      <c r="I7" t="s">
        <v>404</v>
      </c>
      <c r="J7" t="s">
        <v>365</v>
      </c>
    </row>
    <row r="8" spans="1:10" x14ac:dyDescent="0.25">
      <c r="A8">
        <v>2016</v>
      </c>
      <c r="B8" t="s">
        <v>297</v>
      </c>
      <c r="C8" t="s">
        <v>308</v>
      </c>
      <c r="D8" t="s">
        <v>392</v>
      </c>
      <c r="E8" t="s">
        <v>379</v>
      </c>
      <c r="F8" t="s">
        <v>330</v>
      </c>
      <c r="G8" t="s">
        <v>354</v>
      </c>
      <c r="H8" t="s">
        <v>417</v>
      </c>
      <c r="I8" t="s">
        <v>405</v>
      </c>
      <c r="J8" t="s">
        <v>366</v>
      </c>
    </row>
    <row r="9" spans="1:10" x14ac:dyDescent="0.25">
      <c r="A9">
        <v>2017</v>
      </c>
      <c r="B9" t="s">
        <v>298</v>
      </c>
      <c r="C9" t="s">
        <v>309</v>
      </c>
      <c r="D9" t="s">
        <v>393</v>
      </c>
      <c r="E9" t="s">
        <v>380</v>
      </c>
      <c r="F9" t="s">
        <v>331</v>
      </c>
      <c r="G9" t="s">
        <v>355</v>
      </c>
      <c r="H9" t="s">
        <v>418</v>
      </c>
      <c r="I9" t="s">
        <v>406</v>
      </c>
      <c r="J9" t="s">
        <v>367</v>
      </c>
    </row>
    <row r="10" spans="1:10" x14ac:dyDescent="0.25">
      <c r="A10">
        <v>2018</v>
      </c>
      <c r="B10" t="s">
        <v>299</v>
      </c>
      <c r="C10" t="s">
        <v>310</v>
      </c>
      <c r="D10" t="s">
        <v>394</v>
      </c>
      <c r="E10" t="s">
        <v>381</v>
      </c>
      <c r="F10" t="s">
        <v>332</v>
      </c>
      <c r="G10" t="s">
        <v>356</v>
      </c>
      <c r="H10" t="s">
        <v>419</v>
      </c>
      <c r="I10" t="s">
        <v>407</v>
      </c>
      <c r="J10" t="s">
        <v>368</v>
      </c>
    </row>
    <row r="11" spans="1:10" x14ac:dyDescent="0.25">
      <c r="A11">
        <v>2019</v>
      </c>
      <c r="B11" t="s">
        <v>300</v>
      </c>
      <c r="C11" t="s">
        <v>311</v>
      </c>
      <c r="D11" t="s">
        <v>395</v>
      </c>
      <c r="E11" t="s">
        <v>382</v>
      </c>
      <c r="F11" t="s">
        <v>333</v>
      </c>
      <c r="G11" t="s">
        <v>357</v>
      </c>
      <c r="H11" t="s">
        <v>420</v>
      </c>
      <c r="I11" t="s">
        <v>408</v>
      </c>
      <c r="J11" t="s">
        <v>369</v>
      </c>
    </row>
    <row r="12" spans="1:10" x14ac:dyDescent="0.25">
      <c r="A12">
        <v>2020</v>
      </c>
      <c r="B12" t="s">
        <v>301</v>
      </c>
      <c r="C12" t="s">
        <v>312</v>
      </c>
      <c r="D12" t="s">
        <v>396</v>
      </c>
      <c r="E12" t="s">
        <v>383</v>
      </c>
      <c r="F12" t="s">
        <v>334</v>
      </c>
      <c r="G12" t="s">
        <v>358</v>
      </c>
      <c r="H12" t="s">
        <v>421</v>
      </c>
      <c r="I12" t="s">
        <v>409</v>
      </c>
      <c r="J12" t="s">
        <v>370</v>
      </c>
    </row>
    <row r="13" spans="1:10" x14ac:dyDescent="0.25">
      <c r="A13">
        <v>2021</v>
      </c>
      <c r="B13" t="s">
        <v>302</v>
      </c>
      <c r="C13" t="s">
        <v>313</v>
      </c>
      <c r="D13" t="s">
        <v>397</v>
      </c>
      <c r="E13" t="s">
        <v>384</v>
      </c>
      <c r="F13" t="s">
        <v>335</v>
      </c>
      <c r="G13" t="s">
        <v>359</v>
      </c>
      <c r="H13" t="s">
        <v>422</v>
      </c>
      <c r="I13" t="s">
        <v>410</v>
      </c>
      <c r="J13" t="s">
        <v>371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F046-D74D-4209-8B12-79ACB5C63ED6}">
  <dimension ref="A1:AE242"/>
  <sheetViews>
    <sheetView tabSelected="1" topLeftCell="I1" zoomScale="110" zoomScaleNormal="110" workbookViewId="0">
      <selection activeCell="AA1" sqref="AA1"/>
    </sheetView>
  </sheetViews>
  <sheetFormatPr defaultRowHeight="15" x14ac:dyDescent="0.25"/>
  <cols>
    <col min="1" max="1" width="7.85546875" bestFit="1" customWidth="1"/>
    <col min="2" max="2" width="15.42578125" bestFit="1" customWidth="1"/>
    <col min="3" max="4" width="15.42578125" customWidth="1"/>
    <col min="5" max="5" width="20.7109375" bestFit="1" customWidth="1"/>
    <col min="6" max="6" width="21.42578125" bestFit="1" customWidth="1"/>
    <col min="7" max="7" width="22" bestFit="1" customWidth="1"/>
    <col min="9" max="9" width="23.140625" customWidth="1"/>
    <col min="10" max="10" width="10.28515625" bestFit="1" customWidth="1"/>
    <col min="11" max="11" width="19.85546875" bestFit="1" customWidth="1"/>
    <col min="12" max="12" width="9.28515625" bestFit="1" customWidth="1"/>
    <col min="13" max="13" width="10.85546875" bestFit="1" customWidth="1"/>
    <col min="15" max="15" width="7.28515625" bestFit="1" customWidth="1"/>
    <col min="16" max="16" width="12.28515625" bestFit="1" customWidth="1"/>
    <col min="17" max="18" width="7.7109375" bestFit="1" customWidth="1"/>
    <col min="19" max="19" width="6.140625" bestFit="1" customWidth="1"/>
    <col min="20" max="20" width="11.5703125" customWidth="1"/>
  </cols>
  <sheetData>
    <row r="1" spans="1:29" x14ac:dyDescent="0.25">
      <c r="A1" t="s">
        <v>433</v>
      </c>
      <c r="B1" t="s">
        <v>434</v>
      </c>
      <c r="C1">
        <v>100</v>
      </c>
      <c r="G1" t="s">
        <v>440</v>
      </c>
      <c r="I1" t="s">
        <v>441</v>
      </c>
      <c r="K1" t="s">
        <v>442</v>
      </c>
      <c r="L1" t="s">
        <v>4</v>
      </c>
      <c r="M1" t="s">
        <v>5</v>
      </c>
      <c r="P1" t="s">
        <v>443</v>
      </c>
      <c r="R1">
        <v>100</v>
      </c>
      <c r="AA1" t="s">
        <v>30</v>
      </c>
    </row>
    <row r="2" spans="1:29" x14ac:dyDescent="0.25">
      <c r="A2" s="1">
        <v>38718</v>
      </c>
      <c r="B2" s="4">
        <v>0.17685483870967741</v>
      </c>
      <c r="C2" s="16">
        <f>C1*(1+B2/12)</f>
        <v>101.47379032258064</v>
      </c>
      <c r="D2" s="4"/>
      <c r="G2" s="4">
        <v>-5.5763249703060505E-3</v>
      </c>
      <c r="I2" s="1">
        <v>37987</v>
      </c>
      <c r="J2">
        <v>21.986650000000001</v>
      </c>
      <c r="O2" s="1">
        <v>38353</v>
      </c>
      <c r="P2" s="2">
        <v>0.86</v>
      </c>
      <c r="Q2" s="2"/>
      <c r="R2" s="2">
        <f>R1*(1+P2/100)</f>
        <v>100.86</v>
      </c>
      <c r="S2" s="2"/>
      <c r="T2" s="2"/>
      <c r="AA2" t="s">
        <v>31</v>
      </c>
      <c r="AB2" t="s">
        <v>32</v>
      </c>
    </row>
    <row r="3" spans="1:29" x14ac:dyDescent="0.25">
      <c r="A3" s="1">
        <v>38749</v>
      </c>
      <c r="B3" s="4">
        <v>0.17249999999999999</v>
      </c>
      <c r="C3" s="16">
        <f t="shared" ref="C3:C66" si="0">C2*(1+B3/12)</f>
        <v>102.93247605846774</v>
      </c>
      <c r="D3" s="4"/>
      <c r="G3" s="4">
        <v>-1.1560346368354103E-2</v>
      </c>
      <c r="I3" s="1">
        <v>38018</v>
      </c>
      <c r="J3">
        <v>20.827020000000001</v>
      </c>
      <c r="O3" s="1">
        <v>38384</v>
      </c>
      <c r="P3" s="2">
        <v>0.54</v>
      </c>
      <c r="Q3" s="2"/>
      <c r="R3" s="2">
        <f t="shared" ref="R3:R13" si="1">R2*(1+P3/100)</f>
        <v>101.404644</v>
      </c>
      <c r="S3" s="2"/>
      <c r="T3" s="2"/>
      <c r="AA3">
        <v>37987</v>
      </c>
      <c r="AB3">
        <v>52.37623</v>
      </c>
    </row>
    <row r="4" spans="1:29" x14ac:dyDescent="0.25">
      <c r="A4" s="1">
        <v>38777</v>
      </c>
      <c r="B4" s="4">
        <v>0.16693548387096777</v>
      </c>
      <c r="C4" s="16">
        <f t="shared" si="0"/>
        <v>104.36439961653917</v>
      </c>
      <c r="D4" s="4"/>
      <c r="G4" s="4">
        <v>-1.5081459886719309E-2</v>
      </c>
      <c r="I4" s="1">
        <v>38047</v>
      </c>
      <c r="J4">
        <v>25.048079999999999</v>
      </c>
      <c r="O4" s="1">
        <v>38412</v>
      </c>
      <c r="P4" s="2">
        <v>0.48</v>
      </c>
      <c r="Q4" s="2"/>
      <c r="R4" s="2">
        <f t="shared" si="1"/>
        <v>101.89138629119999</v>
      </c>
      <c r="S4" s="5"/>
      <c r="T4" s="5"/>
      <c r="AA4">
        <v>38018</v>
      </c>
      <c r="AB4">
        <v>49.514609999999998</v>
      </c>
    </row>
    <row r="5" spans="1:29" x14ac:dyDescent="0.25">
      <c r="A5" s="1">
        <v>38808</v>
      </c>
      <c r="B5" s="4">
        <v>0.16200000000000001</v>
      </c>
      <c r="C5" s="16">
        <f t="shared" si="0"/>
        <v>105.77331901136246</v>
      </c>
      <c r="D5" s="4"/>
      <c r="G5" s="4">
        <v>-1.9074644196505321E-2</v>
      </c>
      <c r="I5" s="1">
        <v>38078</v>
      </c>
      <c r="J5">
        <v>24.49146</v>
      </c>
      <c r="O5" s="1">
        <v>38443</v>
      </c>
      <c r="P5" s="2">
        <v>1.87</v>
      </c>
      <c r="Q5" s="2"/>
      <c r="R5" s="2">
        <f t="shared" si="1"/>
        <v>103.79675521484543</v>
      </c>
      <c r="S5" s="2"/>
      <c r="T5" s="2"/>
      <c r="AA5" t="s">
        <v>33</v>
      </c>
      <c r="AB5">
        <v>59.053330000000003</v>
      </c>
    </row>
    <row r="6" spans="1:29" x14ac:dyDescent="0.25">
      <c r="A6" s="1">
        <v>38838</v>
      </c>
      <c r="B6" s="4">
        <v>0.1575</v>
      </c>
      <c r="C6" s="16">
        <f t="shared" si="0"/>
        <v>107.1615938233866</v>
      </c>
      <c r="D6" s="4"/>
      <c r="G6" s="4">
        <v>-1.836251041565802E-2</v>
      </c>
      <c r="I6" s="1">
        <v>38108</v>
      </c>
      <c r="J6">
        <v>25.836639999999999</v>
      </c>
      <c r="O6" s="1">
        <v>38473</v>
      </c>
      <c r="P6" s="2">
        <v>0.35</v>
      </c>
      <c r="Q6" s="2"/>
      <c r="R6" s="2">
        <f t="shared" si="1"/>
        <v>104.1600438580974</v>
      </c>
      <c r="S6" s="2"/>
      <c r="T6" s="2">
        <f>CORREL(R25:R229,T25:T229)</f>
        <v>0.96536980620203605</v>
      </c>
      <c r="AA6">
        <v>38078</v>
      </c>
      <c r="AB6">
        <v>57.492449999999998</v>
      </c>
    </row>
    <row r="7" spans="1:29" x14ac:dyDescent="0.25">
      <c r="A7" s="1">
        <v>38869</v>
      </c>
      <c r="B7" s="4">
        <v>0.1525</v>
      </c>
      <c r="C7" s="16">
        <f t="shared" si="0"/>
        <v>108.52343907822546</v>
      </c>
      <c r="D7" s="4"/>
      <c r="G7" s="4">
        <v>-2.4786701324885422E-2</v>
      </c>
      <c r="I7" s="1">
        <v>38139</v>
      </c>
      <c r="J7">
        <v>25.187239999999999</v>
      </c>
      <c r="O7" s="1">
        <v>38504</v>
      </c>
      <c r="P7" s="2">
        <v>0.15</v>
      </c>
      <c r="Q7" s="2"/>
      <c r="R7" s="2">
        <f t="shared" si="1"/>
        <v>104.31628392388454</v>
      </c>
      <c r="S7" s="2"/>
      <c r="T7" s="2"/>
      <c r="AA7">
        <v>38108</v>
      </c>
      <c r="AB7">
        <v>60.180630000000001</v>
      </c>
    </row>
    <row r="8" spans="1:29" x14ac:dyDescent="0.25">
      <c r="A8" s="1">
        <v>38899</v>
      </c>
      <c r="B8" s="4">
        <v>0.15056451612903227</v>
      </c>
      <c r="C8" s="16">
        <f t="shared" si="0"/>
        <v>109.88508733601475</v>
      </c>
      <c r="D8" s="4"/>
      <c r="G8" s="4">
        <v>-2.7981235217052824E-2</v>
      </c>
      <c r="I8" s="1">
        <v>38169</v>
      </c>
      <c r="J8">
        <v>26.43965</v>
      </c>
      <c r="O8" s="1">
        <v>38534</v>
      </c>
      <c r="P8" s="2">
        <v>0.21</v>
      </c>
      <c r="Q8" s="2"/>
      <c r="R8" s="2">
        <f t="shared" si="1"/>
        <v>104.5353481201247</v>
      </c>
      <c r="S8" s="2"/>
      <c r="T8" s="2"/>
      <c r="AA8">
        <v>38139</v>
      </c>
      <c r="AB8">
        <v>57.665880000000001</v>
      </c>
    </row>
    <row r="9" spans="1:29" x14ac:dyDescent="0.25">
      <c r="A9" s="1">
        <v>38930</v>
      </c>
      <c r="B9" s="4">
        <v>0.14733870967741935</v>
      </c>
      <c r="C9" s="16">
        <f t="shared" si="0"/>
        <v>111.23428125108799</v>
      </c>
      <c r="D9" s="4"/>
      <c r="G9" s="4">
        <v>-2.9563448030079077E-2</v>
      </c>
      <c r="I9" s="1">
        <v>38200</v>
      </c>
      <c r="J9">
        <v>26.207719999999998</v>
      </c>
      <c r="O9" s="1">
        <v>38565</v>
      </c>
      <c r="P9" s="2">
        <v>0.27</v>
      </c>
      <c r="Q9" s="2"/>
      <c r="R9" s="2">
        <f t="shared" si="1"/>
        <v>104.81759356004902</v>
      </c>
      <c r="S9" s="2"/>
      <c r="T9" s="40">
        <f>CORREL(P14:P229,V14:V229)</f>
        <v>0.84930364928584468</v>
      </c>
      <c r="AA9">
        <v>38169</v>
      </c>
      <c r="AB9">
        <v>60.180630000000001</v>
      </c>
    </row>
    <row r="10" spans="1:29" x14ac:dyDescent="0.25">
      <c r="A10" s="1">
        <v>38961</v>
      </c>
      <c r="B10" s="4">
        <v>0.14249999999999999</v>
      </c>
      <c r="C10" s="16">
        <f t="shared" si="0"/>
        <v>112.55518834094467</v>
      </c>
      <c r="D10" s="4"/>
      <c r="G10" s="4">
        <v>-2.8290340851202876E-2</v>
      </c>
      <c r="I10" s="1">
        <v>38231</v>
      </c>
      <c r="J10">
        <v>25.094470000000001</v>
      </c>
      <c r="O10" s="1">
        <v>38596</v>
      </c>
      <c r="P10" s="2">
        <v>-0.11</v>
      </c>
      <c r="Q10" s="2"/>
      <c r="R10" s="2">
        <f t="shared" si="1"/>
        <v>104.70229420713297</v>
      </c>
      <c r="S10" s="2"/>
      <c r="T10" s="2"/>
      <c r="AA10">
        <v>38200</v>
      </c>
      <c r="AB10">
        <v>59.313470000000002</v>
      </c>
    </row>
    <row r="11" spans="1:29" x14ac:dyDescent="0.25">
      <c r="A11" s="1">
        <v>38991</v>
      </c>
      <c r="B11" s="4">
        <v>0.14040322580645162</v>
      </c>
      <c r="C11" s="16">
        <f t="shared" si="0"/>
        <v>113.87211430130478</v>
      </c>
      <c r="D11" s="4"/>
      <c r="G11" s="4">
        <v>-2.7737154429543991E-2</v>
      </c>
      <c r="I11" s="1">
        <v>38261</v>
      </c>
      <c r="J11">
        <v>27.413740000000001</v>
      </c>
      <c r="O11" s="1">
        <v>38626</v>
      </c>
      <c r="P11" s="2">
        <v>0.55000000000000004</v>
      </c>
      <c r="Q11" s="2"/>
      <c r="R11" s="2">
        <f t="shared" si="1"/>
        <v>105.27815682527221</v>
      </c>
      <c r="S11" s="2"/>
      <c r="T11" s="2"/>
      <c r="AA11">
        <v>38231</v>
      </c>
      <c r="AB11">
        <v>56.365139999999997</v>
      </c>
    </row>
    <row r="12" spans="1:29" x14ac:dyDescent="0.25">
      <c r="A12" s="1">
        <v>39022</v>
      </c>
      <c r="B12" s="4">
        <v>0.13733333333333334</v>
      </c>
      <c r="C12" s="16">
        <f t="shared" si="0"/>
        <v>115.17531738719748</v>
      </c>
      <c r="D12" s="4"/>
      <c r="G12" s="4">
        <v>-3.000541431011966E-2</v>
      </c>
      <c r="I12" s="1">
        <v>38292</v>
      </c>
      <c r="J12">
        <v>27.228200000000001</v>
      </c>
      <c r="O12" s="1">
        <v>38657</v>
      </c>
      <c r="P12" s="2">
        <v>0.44</v>
      </c>
      <c r="Q12" s="2"/>
      <c r="R12" s="2">
        <f t="shared" si="1"/>
        <v>105.74138071530339</v>
      </c>
      <c r="S12" s="2"/>
      <c r="T12" s="2"/>
      <c r="AA12">
        <v>38261</v>
      </c>
      <c r="AB12">
        <v>61.134500000000003</v>
      </c>
    </row>
    <row r="13" spans="1:29" x14ac:dyDescent="0.25">
      <c r="A13" s="1">
        <v>39052</v>
      </c>
      <c r="B13" s="4">
        <v>0.13250000000000001</v>
      </c>
      <c r="C13" s="16">
        <f t="shared" si="0"/>
        <v>116.44704485001445</v>
      </c>
      <c r="D13" s="4">
        <f>C13/C1-1</f>
        <v>0.16447044850014447</v>
      </c>
      <c r="G13" s="4">
        <v>-3.2405564693623302E-2</v>
      </c>
      <c r="I13" s="1">
        <v>38322</v>
      </c>
      <c r="J13">
        <v>36.690809999999999</v>
      </c>
      <c r="K13" s="16">
        <f>SUM(J2:J13)</f>
        <v>312.45168000000001</v>
      </c>
      <c r="L13" s="16">
        <v>307.46223206794798</v>
      </c>
      <c r="M13" s="4">
        <f>(K13-L13)/L13</f>
        <v>1.6227840078092522E-2</v>
      </c>
      <c r="O13" s="1">
        <v>38687</v>
      </c>
      <c r="P13" s="2">
        <v>0.12</v>
      </c>
      <c r="Q13" s="2">
        <v>100</v>
      </c>
      <c r="R13" s="2">
        <f t="shared" si="1"/>
        <v>105.86827037216176</v>
      </c>
      <c r="S13" s="2"/>
      <c r="T13" s="2"/>
      <c r="U13">
        <v>100</v>
      </c>
      <c r="X13" t="s">
        <v>87</v>
      </c>
      <c r="Y13" t="s">
        <v>88</v>
      </c>
      <c r="AA13">
        <v>38292</v>
      </c>
      <c r="AB13">
        <v>60.354059999999997</v>
      </c>
    </row>
    <row r="14" spans="1:29" x14ac:dyDescent="0.25">
      <c r="A14" s="1">
        <v>39083</v>
      </c>
      <c r="B14" s="4">
        <v>0.13193548387096773</v>
      </c>
      <c r="C14" s="16">
        <f t="shared" si="0"/>
        <v>117.72733628398369</v>
      </c>
      <c r="D14" s="4"/>
      <c r="G14" s="4">
        <v>-3.2164251054000205E-2</v>
      </c>
      <c r="I14" s="1">
        <v>38353</v>
      </c>
      <c r="J14">
        <v>25.511939999999999</v>
      </c>
      <c r="K14" s="16">
        <f t="shared" ref="K14:K77" si="2">SUM(J3:J14)</f>
        <v>315.97696999999999</v>
      </c>
      <c r="L14" s="16">
        <v>308.17507312376398</v>
      </c>
      <c r="M14" s="4">
        <f t="shared" ref="M14:M77" si="3">(K14-L14)/L14</f>
        <v>2.5316443660265638E-2</v>
      </c>
      <c r="O14" s="1">
        <v>38718</v>
      </c>
      <c r="P14" s="2">
        <v>0.4</v>
      </c>
      <c r="Q14" s="2">
        <f>Q13*(1+P14/100)</f>
        <v>100.4</v>
      </c>
      <c r="R14" s="2"/>
      <c r="S14" s="2"/>
      <c r="T14" s="2"/>
      <c r="U14">
        <f>U13*W14</f>
        <v>100.59</v>
      </c>
      <c r="V14" s="41">
        <v>0.59</v>
      </c>
      <c r="W14" s="42">
        <f>1+V14/100</f>
        <v>1.0059</v>
      </c>
      <c r="X14" t="str">
        <f>SUBSTITUTE(V14,",",".")</f>
        <v>0.59</v>
      </c>
      <c r="Y14" t="str">
        <f>SUBSTITUTE(P14,",",".")</f>
        <v>0.4</v>
      </c>
      <c r="AA14">
        <v>38322</v>
      </c>
      <c r="AB14">
        <v>80.558800000000005</v>
      </c>
      <c r="AC14">
        <v>714.18973000000005</v>
      </c>
    </row>
    <row r="15" spans="1:29" x14ac:dyDescent="0.25">
      <c r="A15" s="1">
        <v>39114</v>
      </c>
      <c r="B15" s="4">
        <v>0.13</v>
      </c>
      <c r="C15" s="16">
        <f t="shared" si="0"/>
        <v>119.0027157603935</v>
      </c>
      <c r="D15" s="4"/>
      <c r="G15" s="4">
        <v>-3.3325926736499853E-2</v>
      </c>
      <c r="I15" s="1">
        <v>38384</v>
      </c>
      <c r="J15">
        <v>23.053519999999999</v>
      </c>
      <c r="K15" s="16">
        <f t="shared" si="2"/>
        <v>318.20346999999998</v>
      </c>
      <c r="L15" s="16">
        <v>308.88826055235398</v>
      </c>
      <c r="M15" s="4">
        <f t="shared" si="3"/>
        <v>3.0157214233355909E-2</v>
      </c>
      <c r="O15" s="1">
        <v>38749</v>
      </c>
      <c r="P15" s="2">
        <v>0.18</v>
      </c>
      <c r="Q15" s="2">
        <f t="shared" ref="Q15:Q78" si="4">Q14*(1+P15/100)</f>
        <v>100.58072000000001</v>
      </c>
      <c r="R15" s="2"/>
      <c r="S15" s="2"/>
      <c r="T15" s="2"/>
      <c r="U15">
        <f>U14*W15</f>
        <v>101.002419</v>
      </c>
      <c r="V15" s="41">
        <v>0.41</v>
      </c>
      <c r="W15" s="42">
        <f t="shared" ref="W15:W78" si="5">1+V15/100</f>
        <v>1.0041</v>
      </c>
      <c r="X15" t="str">
        <f t="shared" ref="X15:X78" si="6">SUBSTITUTE(V15,",",".")</f>
        <v>0.41</v>
      </c>
      <c r="Y15" t="str">
        <f t="shared" ref="Y15:Y78" si="7">SUBSTITUTE(P15,",",".")</f>
        <v>0.18</v>
      </c>
      <c r="AA15">
        <v>38353</v>
      </c>
      <c r="AB15">
        <v>55.584699999999998</v>
      </c>
      <c r="AC15">
        <v>717.39820000000009</v>
      </c>
    </row>
    <row r="16" spans="1:29" x14ac:dyDescent="0.25">
      <c r="A16" s="1">
        <v>39142</v>
      </c>
      <c r="B16" s="4">
        <v>0.12806451612903225</v>
      </c>
      <c r="C16" s="16">
        <f t="shared" si="0"/>
        <v>120.27271786138481</v>
      </c>
      <c r="D16" s="4"/>
      <c r="G16" s="4">
        <v>-3.3535943276539526E-2</v>
      </c>
      <c r="I16" s="1">
        <v>38412</v>
      </c>
      <c r="J16">
        <v>26.996269999999999</v>
      </c>
      <c r="K16" s="16">
        <f t="shared" si="2"/>
        <v>320.15165999999994</v>
      </c>
      <c r="L16" s="16">
        <v>309.60268273530198</v>
      </c>
      <c r="M16" s="4">
        <f t="shared" si="3"/>
        <v>3.407262873660856E-2</v>
      </c>
      <c r="O16" s="1">
        <v>38777</v>
      </c>
      <c r="P16" s="2">
        <v>0.52</v>
      </c>
      <c r="Q16" s="3">
        <f t="shared" si="4"/>
        <v>101.10373974400002</v>
      </c>
      <c r="R16" s="2"/>
      <c r="S16" s="2"/>
      <c r="T16" s="2"/>
      <c r="U16">
        <f t="shared" ref="U16:U79" si="8">U15*W16</f>
        <v>101.43672940170001</v>
      </c>
      <c r="V16" s="41">
        <v>0.43</v>
      </c>
      <c r="W16" s="42">
        <f t="shared" si="5"/>
        <v>1.0043</v>
      </c>
      <c r="X16" t="str">
        <f t="shared" si="6"/>
        <v>0.43</v>
      </c>
      <c r="Y16" t="str">
        <f t="shared" si="7"/>
        <v>0.52</v>
      </c>
      <c r="AA16">
        <v>38384</v>
      </c>
      <c r="AB16">
        <v>50.12162</v>
      </c>
      <c r="AC16">
        <v>718.00521000000003</v>
      </c>
    </row>
    <row r="17" spans="1:29" x14ac:dyDescent="0.25">
      <c r="A17" s="1">
        <v>39173</v>
      </c>
      <c r="B17" s="4">
        <v>0.1265</v>
      </c>
      <c r="C17" s="16">
        <f t="shared" si="0"/>
        <v>121.54059276217357</v>
      </c>
      <c r="D17" s="4"/>
      <c r="G17" s="4">
        <v>-3.2673612157879131E-2</v>
      </c>
      <c r="I17" s="1">
        <v>38443</v>
      </c>
      <c r="J17">
        <v>25.97579</v>
      </c>
      <c r="K17" s="16">
        <f t="shared" si="2"/>
        <v>321.63598999999999</v>
      </c>
      <c r="L17" s="16">
        <v>310.31987470276403</v>
      </c>
      <c r="M17" s="4">
        <f t="shared" si="3"/>
        <v>3.6465970180205073E-2</v>
      </c>
      <c r="O17" s="1">
        <v>38808</v>
      </c>
      <c r="P17" s="2">
        <v>0.48</v>
      </c>
      <c r="Q17" s="2">
        <f t="shared" si="4"/>
        <v>101.58903769477122</v>
      </c>
      <c r="R17" s="2"/>
      <c r="S17" s="2"/>
      <c r="U17">
        <f t="shared" si="8"/>
        <v>101.64974653344358</v>
      </c>
      <c r="V17" s="41">
        <v>0.21</v>
      </c>
      <c r="W17" s="42">
        <f t="shared" si="5"/>
        <v>1.0021</v>
      </c>
      <c r="X17" t="str">
        <f t="shared" si="6"/>
        <v>0.21</v>
      </c>
      <c r="Y17" t="str">
        <f t="shared" si="7"/>
        <v>0.48</v>
      </c>
      <c r="AA17" t="s">
        <v>34</v>
      </c>
      <c r="AB17">
        <v>58.619750000000003</v>
      </c>
      <c r="AC17">
        <v>717.57162999999991</v>
      </c>
    </row>
    <row r="18" spans="1:29" x14ac:dyDescent="0.25">
      <c r="A18" s="1">
        <v>39203</v>
      </c>
      <c r="B18" s="4">
        <v>0.125</v>
      </c>
      <c r="C18" s="16">
        <f t="shared" si="0"/>
        <v>122.80664060344623</v>
      </c>
      <c r="D18" s="4"/>
      <c r="G18" s="4">
        <v>-3.0756093036715844E-2</v>
      </c>
      <c r="I18" s="1">
        <v>38473</v>
      </c>
      <c r="J18">
        <v>26.254100000000001</v>
      </c>
      <c r="K18" s="16">
        <f t="shared" si="2"/>
        <v>322.05345</v>
      </c>
      <c r="L18" s="16">
        <v>311.04210393748599</v>
      </c>
      <c r="M18" s="4">
        <f t="shared" si="3"/>
        <v>3.5401464699219932E-2</v>
      </c>
      <c r="O18" s="1">
        <v>38838</v>
      </c>
      <c r="P18" s="2">
        <v>0.25</v>
      </c>
      <c r="Q18" s="2">
        <f t="shared" si="4"/>
        <v>101.84301028900815</v>
      </c>
      <c r="R18" s="2"/>
      <c r="S18" s="2"/>
      <c r="T18" s="2"/>
      <c r="U18">
        <f t="shared" si="8"/>
        <v>101.751396279977</v>
      </c>
      <c r="V18" s="41">
        <v>0.1</v>
      </c>
      <c r="W18" s="42">
        <f t="shared" si="5"/>
        <v>1.0009999999999999</v>
      </c>
      <c r="X18" t="str">
        <f t="shared" si="6"/>
        <v>0.1</v>
      </c>
      <c r="Y18" t="str">
        <f t="shared" si="7"/>
        <v>0.25</v>
      </c>
      <c r="AA18">
        <v>38443</v>
      </c>
      <c r="AB18">
        <v>55.497990000000001</v>
      </c>
      <c r="AC18">
        <v>715.57716999999991</v>
      </c>
    </row>
    <row r="19" spans="1:29" x14ac:dyDescent="0.25">
      <c r="A19" s="1">
        <v>39234</v>
      </c>
      <c r="B19" s="4">
        <v>0.12116666666666667</v>
      </c>
      <c r="C19" s="16">
        <f t="shared" si="0"/>
        <v>124.0466465439838</v>
      </c>
      <c r="D19" s="4"/>
      <c r="G19" s="4">
        <v>-2.6994750198042611E-2</v>
      </c>
      <c r="I19" s="1">
        <v>38504</v>
      </c>
      <c r="J19">
        <v>25.79025</v>
      </c>
      <c r="K19" s="16">
        <f t="shared" si="2"/>
        <v>322.65646000000004</v>
      </c>
      <c r="L19" s="16">
        <v>311.772424042024</v>
      </c>
      <c r="M19" s="4">
        <f t="shared" si="3"/>
        <v>3.4910194483746174E-2</v>
      </c>
      <c r="O19" s="1">
        <v>38869</v>
      </c>
      <c r="P19" s="2">
        <v>-0.13</v>
      </c>
      <c r="Q19" s="2">
        <f t="shared" si="4"/>
        <v>101.71061437563245</v>
      </c>
      <c r="R19" s="2"/>
      <c r="S19" s="2"/>
      <c r="T19" s="2"/>
      <c r="U19">
        <f t="shared" si="8"/>
        <v>101.53771834778905</v>
      </c>
      <c r="V19" s="41">
        <v>-0.21</v>
      </c>
      <c r="W19" s="42">
        <f t="shared" si="5"/>
        <v>0.99790000000000001</v>
      </c>
      <c r="X19" t="str">
        <f t="shared" si="6"/>
        <v>-0.21</v>
      </c>
      <c r="Y19" t="str">
        <f t="shared" si="7"/>
        <v>-0.13</v>
      </c>
      <c r="AA19">
        <v>38473</v>
      </c>
      <c r="AB19">
        <v>55.931570000000001</v>
      </c>
      <c r="AC19">
        <v>711.32810999999992</v>
      </c>
    </row>
    <row r="20" spans="1:29" x14ac:dyDescent="0.25">
      <c r="A20" s="1">
        <v>39264</v>
      </c>
      <c r="B20" s="4">
        <v>0.11790322580645161</v>
      </c>
      <c r="C20" s="16">
        <f t="shared" si="0"/>
        <v>125.26543819215115</v>
      </c>
      <c r="D20" s="4"/>
      <c r="G20" s="4">
        <v>-2.5285378955788973E-2</v>
      </c>
      <c r="I20" s="1">
        <v>38534</v>
      </c>
      <c r="J20">
        <v>25.883019999999998</v>
      </c>
      <c r="K20" s="16">
        <f t="shared" si="2"/>
        <v>322.09983</v>
      </c>
      <c r="L20" s="16">
        <v>312.51465305616301</v>
      </c>
      <c r="M20" s="4">
        <f t="shared" si="3"/>
        <v>3.0671128057839902E-2</v>
      </c>
      <c r="O20" s="1">
        <v>38899</v>
      </c>
      <c r="P20" s="2">
        <v>0.14000000000000001</v>
      </c>
      <c r="Q20" s="2">
        <f t="shared" si="4"/>
        <v>101.85300923575834</v>
      </c>
      <c r="R20" s="2"/>
      <c r="S20" s="2"/>
      <c r="T20" s="2"/>
      <c r="U20">
        <f t="shared" si="8"/>
        <v>101.73064001264986</v>
      </c>
      <c r="V20" s="41">
        <v>0.19</v>
      </c>
      <c r="W20" s="42">
        <f t="shared" si="5"/>
        <v>1.0019</v>
      </c>
      <c r="X20" t="str">
        <f t="shared" si="6"/>
        <v>0.19</v>
      </c>
      <c r="Y20" t="str">
        <f t="shared" si="7"/>
        <v>0.14</v>
      </c>
      <c r="AA20">
        <v>38504</v>
      </c>
      <c r="AB20">
        <v>55.064410000000002</v>
      </c>
      <c r="AC20">
        <v>708.72663999999986</v>
      </c>
    </row>
    <row r="21" spans="1:29" x14ac:dyDescent="0.25">
      <c r="A21" s="1">
        <v>39295</v>
      </c>
      <c r="B21" s="4">
        <v>0.115</v>
      </c>
      <c r="C21" s="16">
        <f t="shared" si="0"/>
        <v>126.46589864149259</v>
      </c>
      <c r="D21" s="4"/>
      <c r="G21" s="4">
        <v>-1.9493372596892287E-2</v>
      </c>
      <c r="I21" s="1">
        <v>38565</v>
      </c>
      <c r="J21">
        <v>25.97579</v>
      </c>
      <c r="K21" s="16">
        <f t="shared" si="2"/>
        <v>321.86790000000002</v>
      </c>
      <c r="L21" s="16">
        <v>313.27336510135001</v>
      </c>
      <c r="M21" s="4">
        <f t="shared" si="3"/>
        <v>2.7434617353663347E-2</v>
      </c>
      <c r="O21" s="1">
        <v>38930</v>
      </c>
      <c r="P21" s="2">
        <v>0.02</v>
      </c>
      <c r="Q21" s="2">
        <f t="shared" si="4"/>
        <v>101.87337983760548</v>
      </c>
      <c r="R21" s="2"/>
      <c r="S21" s="2"/>
      <c r="T21" s="2"/>
      <c r="U21">
        <f t="shared" si="8"/>
        <v>101.78150533265618</v>
      </c>
      <c r="V21" s="41">
        <v>0.05</v>
      </c>
      <c r="W21" s="42">
        <f t="shared" si="5"/>
        <v>1.0004999999999999</v>
      </c>
      <c r="X21" t="str">
        <f t="shared" si="6"/>
        <v>0.05</v>
      </c>
      <c r="Y21" t="str">
        <f t="shared" si="7"/>
        <v>0.02</v>
      </c>
      <c r="AA21">
        <v>38534</v>
      </c>
      <c r="AB21">
        <v>55.411270000000002</v>
      </c>
      <c r="AC21">
        <v>703.95727999999986</v>
      </c>
    </row>
    <row r="22" spans="1:29" x14ac:dyDescent="0.25">
      <c r="A22" s="1">
        <v>39326</v>
      </c>
      <c r="B22" s="4">
        <v>0.11291666666666667</v>
      </c>
      <c r="C22" s="16">
        <f t="shared" si="0"/>
        <v>127.65590761829274</v>
      </c>
      <c r="D22" s="4"/>
      <c r="G22" s="4">
        <v>-1.809760947407215E-2</v>
      </c>
      <c r="I22" s="1">
        <v>38596</v>
      </c>
      <c r="J22">
        <v>24.073989999999998</v>
      </c>
      <c r="K22" s="16">
        <f t="shared" si="2"/>
        <v>320.84742</v>
      </c>
      <c r="L22" s="16">
        <v>314.05379994812699</v>
      </c>
      <c r="M22" s="4">
        <f t="shared" si="3"/>
        <v>2.1632026273826727E-2</v>
      </c>
      <c r="O22" s="1">
        <v>38961</v>
      </c>
      <c r="P22" s="2">
        <v>0.11</v>
      </c>
      <c r="Q22" s="2">
        <f t="shared" si="4"/>
        <v>101.98544055542686</v>
      </c>
      <c r="R22" s="2"/>
      <c r="S22" s="2"/>
      <c r="T22" s="2"/>
      <c r="U22">
        <f t="shared" si="8"/>
        <v>101.99524649385476</v>
      </c>
      <c r="V22" s="41">
        <v>0.21</v>
      </c>
      <c r="W22" s="42">
        <f t="shared" si="5"/>
        <v>1.0021</v>
      </c>
      <c r="X22" t="str">
        <f t="shared" si="6"/>
        <v>0.21</v>
      </c>
      <c r="Y22" t="str">
        <f t="shared" si="7"/>
        <v>0.11</v>
      </c>
      <c r="AA22">
        <v>38565</v>
      </c>
      <c r="AB22">
        <v>55.584699999999998</v>
      </c>
      <c r="AC22">
        <v>700.22851000000003</v>
      </c>
    </row>
    <row r="23" spans="1:29" x14ac:dyDescent="0.25">
      <c r="A23" s="1">
        <v>39356</v>
      </c>
      <c r="B23" s="4">
        <v>0.1125</v>
      </c>
      <c r="C23" s="16">
        <f t="shared" si="0"/>
        <v>128.85268175221424</v>
      </c>
      <c r="D23" s="4"/>
      <c r="G23" s="4">
        <v>-1.0312752821966078E-2</v>
      </c>
      <c r="I23" s="1">
        <v>38626</v>
      </c>
      <c r="J23">
        <v>25.65109</v>
      </c>
      <c r="K23" s="16">
        <f t="shared" si="2"/>
        <v>319.08476999999999</v>
      </c>
      <c r="L23" s="16">
        <v>314.86179435556801</v>
      </c>
      <c r="M23" s="4">
        <f t="shared" si="3"/>
        <v>1.3412156444941838E-2</v>
      </c>
      <c r="O23" s="1">
        <v>38991</v>
      </c>
      <c r="P23" s="2">
        <v>0.31</v>
      </c>
      <c r="Q23" s="2">
        <f t="shared" si="4"/>
        <v>102.30159542114869</v>
      </c>
      <c r="R23" s="2"/>
      <c r="S23" s="2"/>
      <c r="T23" s="2"/>
      <c r="U23">
        <f t="shared" si="8"/>
        <v>102.33183080728449</v>
      </c>
      <c r="V23" s="41">
        <v>0.33</v>
      </c>
      <c r="W23" s="42">
        <f t="shared" si="5"/>
        <v>1.0033000000000001</v>
      </c>
      <c r="X23" t="str">
        <f t="shared" si="6"/>
        <v>0.33</v>
      </c>
      <c r="Y23" t="str">
        <f t="shared" si="7"/>
        <v>0.31</v>
      </c>
      <c r="AA23">
        <v>38596</v>
      </c>
      <c r="AB23">
        <v>51.682499999999997</v>
      </c>
      <c r="AC23">
        <v>695.54587000000015</v>
      </c>
    </row>
    <row r="24" spans="1:29" x14ac:dyDescent="0.25">
      <c r="A24" s="1">
        <v>39387</v>
      </c>
      <c r="B24" s="4">
        <v>0.1125</v>
      </c>
      <c r="C24" s="16">
        <f t="shared" si="0"/>
        <v>130.06067564364125</v>
      </c>
      <c r="D24" s="4"/>
      <c r="G24" s="4">
        <v>-3.7670151521907239E-3</v>
      </c>
      <c r="I24" s="1">
        <v>38657</v>
      </c>
      <c r="J24">
        <v>26.671569999999999</v>
      </c>
      <c r="K24" s="16">
        <f t="shared" si="2"/>
        <v>318.52813999999995</v>
      </c>
      <c r="L24" s="16">
        <v>315.70365704108599</v>
      </c>
      <c r="M24" s="4">
        <f t="shared" si="3"/>
        <v>8.9466273067162483E-3</v>
      </c>
      <c r="O24" s="1">
        <v>39022</v>
      </c>
      <c r="P24" s="2">
        <v>0.13</v>
      </c>
      <c r="Q24" s="2">
        <f t="shared" si="4"/>
        <v>102.4345874951962</v>
      </c>
      <c r="S24" s="4"/>
      <c r="T24" s="4"/>
      <c r="U24">
        <f t="shared" si="8"/>
        <v>102.64905948278708</v>
      </c>
      <c r="V24" s="41">
        <v>0.31</v>
      </c>
      <c r="W24" s="42">
        <f t="shared" si="5"/>
        <v>1.0031000000000001</v>
      </c>
      <c r="X24" t="str">
        <f t="shared" si="6"/>
        <v>0.31</v>
      </c>
      <c r="Y24" t="str">
        <f t="shared" si="7"/>
        <v>0.13</v>
      </c>
      <c r="AA24">
        <v>38626</v>
      </c>
      <c r="AB24">
        <v>54.717550000000003</v>
      </c>
      <c r="AC24">
        <v>689.12891999999999</v>
      </c>
    </row>
    <row r="25" spans="1:29" x14ac:dyDescent="0.25">
      <c r="A25" s="1">
        <v>39417</v>
      </c>
      <c r="B25" s="4">
        <v>0.1125</v>
      </c>
      <c r="C25" s="16">
        <f t="shared" si="0"/>
        <v>131.27999447780036</v>
      </c>
      <c r="D25" s="4">
        <f>C25/C13-1</f>
        <v>0.12737935640093712</v>
      </c>
      <c r="G25" s="4">
        <v>4.3512721348600812E-5</v>
      </c>
      <c r="I25" s="1">
        <v>38687</v>
      </c>
      <c r="J25">
        <v>34.974550000000001</v>
      </c>
      <c r="K25" s="16">
        <f t="shared" si="2"/>
        <v>316.81187999999997</v>
      </c>
      <c r="L25" s="16">
        <v>316.58598965304202</v>
      </c>
      <c r="M25" s="4">
        <f t="shared" si="3"/>
        <v>7.1351972083639895E-4</v>
      </c>
      <c r="O25" s="1">
        <v>39052</v>
      </c>
      <c r="P25" s="2">
        <v>0.23</v>
      </c>
      <c r="Q25" s="2">
        <f t="shared" si="4"/>
        <v>102.67018704643515</v>
      </c>
      <c r="R25" s="4">
        <f>Q25/Q13-1</f>
        <v>2.6701870464351352E-2</v>
      </c>
      <c r="S25" s="4">
        <v>4.4999999999999998E-2</v>
      </c>
      <c r="T25" s="4">
        <f>U25/U13-1</f>
        <v>3.141774968304456E-2</v>
      </c>
      <c r="U25">
        <f t="shared" si="8"/>
        <v>103.14177496830445</v>
      </c>
      <c r="V25" s="41">
        <v>0.48</v>
      </c>
      <c r="W25" s="42">
        <f t="shared" si="5"/>
        <v>1.0047999999999999</v>
      </c>
      <c r="X25" t="str">
        <f t="shared" si="6"/>
        <v>0.48</v>
      </c>
      <c r="Y25" t="str">
        <f t="shared" si="7"/>
        <v>0.23</v>
      </c>
      <c r="AA25">
        <v>38657</v>
      </c>
      <c r="AB25">
        <v>56.712009999999999</v>
      </c>
      <c r="AC25">
        <v>685.48686999999995</v>
      </c>
    </row>
    <row r="26" spans="1:29" x14ac:dyDescent="0.25">
      <c r="A26" s="1">
        <v>39448</v>
      </c>
      <c r="B26" s="4">
        <v>0.1125</v>
      </c>
      <c r="C26" s="16">
        <f t="shared" si="0"/>
        <v>132.51074442602973</v>
      </c>
      <c r="D26" s="4"/>
      <c r="G26" s="4">
        <v>2.8493202814886785E-3</v>
      </c>
      <c r="I26" s="1">
        <v>38718</v>
      </c>
      <c r="J26">
        <v>24.445080000000001</v>
      </c>
      <c r="K26" s="16">
        <f t="shared" si="2"/>
        <v>315.74502000000001</v>
      </c>
      <c r="L26" s="16">
        <v>317.51559011361201</v>
      </c>
      <c r="M26" s="4">
        <f t="shared" si="3"/>
        <v>-5.5763249703060505E-3</v>
      </c>
      <c r="O26" s="1">
        <v>39083</v>
      </c>
      <c r="P26" s="2">
        <v>-7.0000000000000007E-2</v>
      </c>
      <c r="Q26" s="2">
        <f t="shared" si="4"/>
        <v>102.59831791550263</v>
      </c>
      <c r="R26" s="4">
        <f t="shared" ref="R26:R89" si="9">Q26/Q14-1</f>
        <v>2.1895596767954384E-2</v>
      </c>
      <c r="S26" s="4">
        <v>4.4999999999999998E-2</v>
      </c>
      <c r="T26" s="4">
        <f t="shared" ref="T26:T89" si="10">U26/U14-1</f>
        <v>2.9879697566010277E-2</v>
      </c>
      <c r="U26">
        <f t="shared" si="8"/>
        <v>103.59559877816498</v>
      </c>
      <c r="V26" s="41">
        <v>0.44</v>
      </c>
      <c r="W26" s="42">
        <f t="shared" si="5"/>
        <v>1.0044</v>
      </c>
      <c r="X26" t="str">
        <f t="shared" si="6"/>
        <v>0.44</v>
      </c>
      <c r="Y26" t="str">
        <f t="shared" si="7"/>
        <v>-0.07</v>
      </c>
      <c r="AA26">
        <v>38687</v>
      </c>
      <c r="AB26">
        <v>74.662139999999994</v>
      </c>
      <c r="AC26">
        <v>679.59021000000007</v>
      </c>
    </row>
    <row r="27" spans="1:29" x14ac:dyDescent="0.25">
      <c r="A27" s="1">
        <v>39479</v>
      </c>
      <c r="B27" s="4">
        <v>0.1125</v>
      </c>
      <c r="C27" s="16">
        <f t="shared" si="0"/>
        <v>133.75303265502376</v>
      </c>
      <c r="D27" s="4"/>
      <c r="G27" s="4">
        <v>9.0971865296360106E-3</v>
      </c>
      <c r="I27" s="1">
        <v>38749</v>
      </c>
      <c r="J27">
        <v>22.125810000000001</v>
      </c>
      <c r="K27" s="16">
        <f t="shared" si="2"/>
        <v>314.81731000000002</v>
      </c>
      <c r="L27" s="16">
        <v>318.49927190124703</v>
      </c>
      <c r="M27" s="4">
        <f t="shared" si="3"/>
        <v>-1.1560346368354103E-2</v>
      </c>
      <c r="O27" s="1">
        <v>39114</v>
      </c>
      <c r="P27" s="2">
        <v>-0.04</v>
      </c>
      <c r="Q27" s="2">
        <f t="shared" si="4"/>
        <v>102.55727858833643</v>
      </c>
      <c r="R27" s="4">
        <f t="shared" si="9"/>
        <v>1.9651465890643927E-2</v>
      </c>
      <c r="S27" s="4">
        <v>4.4999999999999998E-2</v>
      </c>
      <c r="T27" s="4">
        <f t="shared" si="10"/>
        <v>3.0187399895728273E-2</v>
      </c>
      <c r="U27">
        <f t="shared" si="8"/>
        <v>104.0514194127889</v>
      </c>
      <c r="V27" s="41">
        <v>0.44</v>
      </c>
      <c r="W27" s="42">
        <f t="shared" si="5"/>
        <v>1.0044</v>
      </c>
      <c r="X27" t="str">
        <f t="shared" si="6"/>
        <v>0.44</v>
      </c>
      <c r="Y27" t="str">
        <f t="shared" si="7"/>
        <v>-0.04</v>
      </c>
      <c r="AA27">
        <v>38718</v>
      </c>
      <c r="AB27">
        <v>51.855930000000001</v>
      </c>
      <c r="AC27">
        <v>675.86144000000013</v>
      </c>
    </row>
    <row r="28" spans="1:29" x14ac:dyDescent="0.25">
      <c r="A28" s="1">
        <v>39508</v>
      </c>
      <c r="B28" s="4">
        <v>0.1125</v>
      </c>
      <c r="C28" s="16">
        <f t="shared" si="0"/>
        <v>135.00696733616459</v>
      </c>
      <c r="D28" s="4"/>
      <c r="G28" s="4">
        <v>1.2094901208399712E-2</v>
      </c>
      <c r="I28" s="1">
        <v>38777</v>
      </c>
      <c r="J28">
        <v>26.903500000000001</v>
      </c>
      <c r="K28" s="16">
        <f t="shared" si="2"/>
        <v>314.72454000000005</v>
      </c>
      <c r="L28" s="16">
        <v>319.543725883972</v>
      </c>
      <c r="M28" s="4">
        <f t="shared" si="3"/>
        <v>-1.5081459886719309E-2</v>
      </c>
      <c r="O28" s="1">
        <v>39142</v>
      </c>
      <c r="P28" s="2">
        <v>0.55000000000000004</v>
      </c>
      <c r="Q28" s="2">
        <f t="shared" si="4"/>
        <v>103.12134362057229</v>
      </c>
      <c r="R28" s="4">
        <f t="shared" si="9"/>
        <v>1.9955778902748245E-2</v>
      </c>
      <c r="S28" s="4">
        <v>4.4999999999999998E-2</v>
      </c>
      <c r="T28" s="4">
        <f t="shared" si="10"/>
        <v>2.9571933959317231E-2</v>
      </c>
      <c r="U28">
        <f t="shared" si="8"/>
        <v>104.43640966461622</v>
      </c>
      <c r="V28" s="41">
        <v>0.37</v>
      </c>
      <c r="W28" s="42">
        <f t="shared" si="5"/>
        <v>1.0037</v>
      </c>
      <c r="X28" t="str">
        <f t="shared" si="6"/>
        <v>0.37</v>
      </c>
      <c r="Y28" t="str">
        <f t="shared" si="7"/>
        <v>0.55</v>
      </c>
      <c r="AA28">
        <v>38749</v>
      </c>
      <c r="AB28">
        <v>46.913139999999999</v>
      </c>
      <c r="AC28">
        <v>672.65296000000001</v>
      </c>
    </row>
    <row r="29" spans="1:29" x14ac:dyDescent="0.25">
      <c r="A29" s="1">
        <v>39539</v>
      </c>
      <c r="B29" s="4">
        <v>0.11483333333333333</v>
      </c>
      <c r="C29" s="16">
        <f t="shared" si="0"/>
        <v>136.29890900970096</v>
      </c>
      <c r="D29" s="4"/>
      <c r="G29" s="4">
        <v>1.8376112467545048E-2</v>
      </c>
      <c r="I29" s="1">
        <v>38808</v>
      </c>
      <c r="J29">
        <v>25.79025</v>
      </c>
      <c r="K29" s="16">
        <f t="shared" si="2"/>
        <v>314.53899999999999</v>
      </c>
      <c r="L29" s="16">
        <v>320.65538742482101</v>
      </c>
      <c r="M29" s="4">
        <f t="shared" si="3"/>
        <v>-1.9074644196505321E-2</v>
      </c>
      <c r="O29" s="1">
        <v>39173</v>
      </c>
      <c r="P29" s="2">
        <v>0.42</v>
      </c>
      <c r="Q29" s="2">
        <f t="shared" si="4"/>
        <v>103.5544532637787</v>
      </c>
      <c r="R29" s="4">
        <f t="shared" si="9"/>
        <v>1.9346728875537345E-2</v>
      </c>
      <c r="S29" s="4">
        <v>4.4999999999999998E-2</v>
      </c>
      <c r="T29" s="4">
        <f t="shared" si="10"/>
        <v>2.9982899704835475E-2</v>
      </c>
      <c r="U29">
        <f t="shared" si="8"/>
        <v>104.69750068877775</v>
      </c>
      <c r="V29" s="41">
        <v>0.25</v>
      </c>
      <c r="W29" s="42">
        <f t="shared" si="5"/>
        <v>1.0024999999999999</v>
      </c>
      <c r="X29" t="str">
        <f t="shared" si="6"/>
        <v>0.25</v>
      </c>
      <c r="Y29" t="str">
        <f t="shared" si="7"/>
        <v>0.42</v>
      </c>
      <c r="AA29" t="s">
        <v>35</v>
      </c>
      <c r="AB29">
        <v>56.885440000000003</v>
      </c>
      <c r="AC29">
        <v>670.91865000000018</v>
      </c>
    </row>
    <row r="30" spans="1:29" x14ac:dyDescent="0.25">
      <c r="A30" s="1">
        <v>39569</v>
      </c>
      <c r="B30" s="4">
        <v>0.11749999999999999</v>
      </c>
      <c r="C30" s="16">
        <f t="shared" si="0"/>
        <v>137.63350249375429</v>
      </c>
      <c r="D30" s="4"/>
      <c r="G30" s="4">
        <v>2.1976090336360662E-2</v>
      </c>
      <c r="I30" s="1">
        <v>38838</v>
      </c>
      <c r="J30">
        <v>27.645659999999999</v>
      </c>
      <c r="K30" s="16">
        <f t="shared" si="2"/>
        <v>315.93056000000001</v>
      </c>
      <c r="L30" s="16">
        <v>321.84035690586302</v>
      </c>
      <c r="M30" s="4">
        <f t="shared" si="3"/>
        <v>-1.836251041565802E-2</v>
      </c>
      <c r="O30" s="1">
        <v>39203</v>
      </c>
      <c r="P30" s="2">
        <v>0.49</v>
      </c>
      <c r="Q30" s="2">
        <f t="shared" si="4"/>
        <v>104.0618700847712</v>
      </c>
      <c r="R30" s="4">
        <f t="shared" si="9"/>
        <v>2.1787060196535979E-2</v>
      </c>
      <c r="S30" s="4">
        <v>4.4999999999999998E-2</v>
      </c>
      <c r="T30" s="4">
        <f t="shared" si="10"/>
        <v>3.183501680720191E-2</v>
      </c>
      <c r="U30">
        <f t="shared" si="8"/>
        <v>104.99065369070632</v>
      </c>
      <c r="V30" s="41">
        <v>0.28000000000000003</v>
      </c>
      <c r="W30" s="42">
        <f t="shared" si="5"/>
        <v>1.0027999999999999</v>
      </c>
      <c r="X30" t="str">
        <f t="shared" si="6"/>
        <v>0.28</v>
      </c>
      <c r="Y30" t="str">
        <f t="shared" si="7"/>
        <v>0.49</v>
      </c>
      <c r="AA30">
        <v>38808</v>
      </c>
      <c r="AB30">
        <v>54.630830000000003</v>
      </c>
      <c r="AC30">
        <v>670.05149000000006</v>
      </c>
    </row>
    <row r="31" spans="1:29" x14ac:dyDescent="0.25">
      <c r="A31" s="1">
        <v>39600</v>
      </c>
      <c r="B31" s="4">
        <v>0.12183333333333334</v>
      </c>
      <c r="C31" s="16">
        <f t="shared" si="0"/>
        <v>139.0308648593506</v>
      </c>
      <c r="D31" s="4"/>
      <c r="G31" s="4">
        <v>2.8451376501702201E-2</v>
      </c>
      <c r="I31" s="1">
        <v>38869</v>
      </c>
      <c r="J31">
        <v>24.955310000000001</v>
      </c>
      <c r="K31" s="16">
        <f t="shared" si="2"/>
        <v>315.09562</v>
      </c>
      <c r="L31" s="16">
        <v>323.104310029484</v>
      </c>
      <c r="M31" s="4">
        <f t="shared" si="3"/>
        <v>-2.4786701324885422E-2</v>
      </c>
      <c r="O31" s="1">
        <v>39234</v>
      </c>
      <c r="P31" s="2">
        <v>0.23</v>
      </c>
      <c r="Q31" s="2">
        <f t="shared" si="4"/>
        <v>104.30121238596617</v>
      </c>
      <c r="R31" s="4">
        <f t="shared" si="9"/>
        <v>2.5470281801329486E-2</v>
      </c>
      <c r="S31" s="4">
        <v>4.4999999999999998E-2</v>
      </c>
      <c r="T31" s="4">
        <f t="shared" si="10"/>
        <v>3.6901648315724955E-2</v>
      </c>
      <c r="U31">
        <f t="shared" si="8"/>
        <v>105.28462752104029</v>
      </c>
      <c r="V31" s="41">
        <v>0.28000000000000003</v>
      </c>
      <c r="W31" s="42">
        <f t="shared" si="5"/>
        <v>1.0027999999999999</v>
      </c>
      <c r="X31" t="str">
        <f t="shared" si="6"/>
        <v>0.28</v>
      </c>
      <c r="Y31" t="str">
        <f t="shared" si="7"/>
        <v>0.23</v>
      </c>
      <c r="AA31">
        <v>38838</v>
      </c>
      <c r="AB31">
        <v>58.272889999999997</v>
      </c>
      <c r="AC31">
        <v>672.39281000000005</v>
      </c>
    </row>
    <row r="32" spans="1:29" x14ac:dyDescent="0.25">
      <c r="A32" s="1">
        <v>39630</v>
      </c>
      <c r="B32" s="4">
        <v>0.12443548387096774</v>
      </c>
      <c r="C32" s="16">
        <f t="shared" si="0"/>
        <v>140.47256260449828</v>
      </c>
      <c r="D32" s="4"/>
      <c r="G32" s="4">
        <v>3.5927383139859687E-2</v>
      </c>
      <c r="I32" s="1">
        <v>38899</v>
      </c>
      <c r="J32">
        <v>26.16133</v>
      </c>
      <c r="K32" s="16">
        <f t="shared" si="2"/>
        <v>315.37393000000003</v>
      </c>
      <c r="L32" s="16">
        <v>324.45251205661998</v>
      </c>
      <c r="M32" s="4">
        <f t="shared" si="3"/>
        <v>-2.7981235217052824E-2</v>
      </c>
      <c r="O32" s="1">
        <v>39264</v>
      </c>
      <c r="P32" s="2">
        <v>0.54</v>
      </c>
      <c r="Q32" s="2">
        <f t="shared" si="4"/>
        <v>104.86443893285039</v>
      </c>
      <c r="R32" s="4">
        <f t="shared" si="9"/>
        <v>2.9566428323404059E-2</v>
      </c>
      <c r="S32" s="4">
        <v>4.4999999999999998E-2</v>
      </c>
      <c r="T32" s="4">
        <f t="shared" si="10"/>
        <v>3.7419115951375037E-2</v>
      </c>
      <c r="U32">
        <f t="shared" si="8"/>
        <v>105.53731062709079</v>
      </c>
      <c r="V32" s="41">
        <v>0.24</v>
      </c>
      <c r="W32" s="42">
        <f t="shared" si="5"/>
        <v>1.0024</v>
      </c>
      <c r="X32" t="str">
        <f t="shared" si="6"/>
        <v>0.24</v>
      </c>
      <c r="Y32" t="str">
        <f t="shared" si="7"/>
        <v>0.54</v>
      </c>
      <c r="AA32">
        <v>38869</v>
      </c>
      <c r="AB32">
        <v>52.896520000000002</v>
      </c>
      <c r="AC32">
        <v>670.22492</v>
      </c>
    </row>
    <row r="33" spans="1:31" x14ac:dyDescent="0.25">
      <c r="A33" s="1">
        <v>39661</v>
      </c>
      <c r="B33" s="4">
        <v>0.13</v>
      </c>
      <c r="C33" s="16">
        <f t="shared" si="0"/>
        <v>141.99434869938034</v>
      </c>
      <c r="D33" s="4"/>
      <c r="G33" s="4">
        <v>3.6249317660010258E-2</v>
      </c>
      <c r="I33" s="1">
        <v>38930</v>
      </c>
      <c r="J33">
        <v>26.857109999999999</v>
      </c>
      <c r="K33" s="16">
        <f t="shared" si="2"/>
        <v>316.25524999999999</v>
      </c>
      <c r="L33" s="16">
        <v>325.88967239333999</v>
      </c>
      <c r="M33" s="4">
        <f t="shared" si="3"/>
        <v>-2.9563448030079077E-2</v>
      </c>
      <c r="O33" s="1">
        <v>39295</v>
      </c>
      <c r="P33" s="2">
        <v>0.33</v>
      </c>
      <c r="Q33" s="2">
        <f t="shared" si="4"/>
        <v>105.21049158132881</v>
      </c>
      <c r="R33" s="4">
        <f t="shared" si="9"/>
        <v>3.2757446047661842E-2</v>
      </c>
      <c r="S33" s="4">
        <v>4.4999999999999998E-2</v>
      </c>
      <c r="T33" s="4">
        <f t="shared" si="10"/>
        <v>4.1774098746973021E-2</v>
      </c>
      <c r="U33">
        <f t="shared" si="8"/>
        <v>106.03333598703811</v>
      </c>
      <c r="V33" s="41">
        <v>0.47</v>
      </c>
      <c r="W33" s="42">
        <f t="shared" si="5"/>
        <v>1.0046999999999999</v>
      </c>
      <c r="X33" t="str">
        <f t="shared" si="6"/>
        <v>0.47</v>
      </c>
      <c r="Y33" t="str">
        <f t="shared" si="7"/>
        <v>0.33</v>
      </c>
      <c r="AA33">
        <v>38899</v>
      </c>
      <c r="AB33">
        <v>55.411270000000002</v>
      </c>
      <c r="AC33">
        <v>670.22492000000011</v>
      </c>
    </row>
    <row r="34" spans="1:31" x14ac:dyDescent="0.25">
      <c r="A34" s="1">
        <v>39692</v>
      </c>
      <c r="B34" s="4">
        <v>0.13500000000000001</v>
      </c>
      <c r="C34" s="16">
        <f t="shared" si="0"/>
        <v>143.59178512224835</v>
      </c>
      <c r="D34" s="4"/>
      <c r="G34" s="4">
        <v>4.1941993848856121E-2</v>
      </c>
      <c r="I34" s="1">
        <v>38961</v>
      </c>
      <c r="J34">
        <v>25.97579</v>
      </c>
      <c r="K34" s="16">
        <f t="shared" si="2"/>
        <v>318.15705000000003</v>
      </c>
      <c r="L34" s="16">
        <v>327.41986971571401</v>
      </c>
      <c r="M34" s="4">
        <f t="shared" si="3"/>
        <v>-2.8290340851202876E-2</v>
      </c>
      <c r="O34" s="1">
        <v>39326</v>
      </c>
      <c r="P34" s="2">
        <v>-0.12</v>
      </c>
      <c r="Q34" s="2">
        <f t="shared" si="4"/>
        <v>105.08423899143122</v>
      </c>
      <c r="R34" s="4">
        <f t="shared" si="9"/>
        <v>3.038471392708475E-2</v>
      </c>
      <c r="S34" s="4">
        <v>4.4999999999999998E-2</v>
      </c>
      <c r="T34" s="4">
        <f t="shared" si="10"/>
        <v>4.146222145965206E-2</v>
      </c>
      <c r="U34">
        <f t="shared" si="8"/>
        <v>106.22419599181478</v>
      </c>
      <c r="V34" s="41">
        <v>0.18</v>
      </c>
      <c r="W34" s="42">
        <f t="shared" si="5"/>
        <v>1.0018</v>
      </c>
      <c r="X34" t="str">
        <f t="shared" si="6"/>
        <v>0.18</v>
      </c>
      <c r="Y34" t="str">
        <f t="shared" si="7"/>
        <v>-0.12</v>
      </c>
      <c r="AA34">
        <v>38930</v>
      </c>
      <c r="AB34">
        <v>56.885440000000003</v>
      </c>
      <c r="AC34">
        <v>671.52566000000002</v>
      </c>
    </row>
    <row r="35" spans="1:31" x14ac:dyDescent="0.25">
      <c r="A35" s="1">
        <v>39722</v>
      </c>
      <c r="B35" s="4">
        <v>0.13750000000000001</v>
      </c>
      <c r="C35" s="16">
        <f t="shared" si="0"/>
        <v>145.23710766010745</v>
      </c>
      <c r="D35" s="4"/>
      <c r="G35" s="4">
        <v>4.099282947419941E-2</v>
      </c>
      <c r="I35" s="1">
        <v>38991</v>
      </c>
      <c r="J35">
        <v>27.413740000000001</v>
      </c>
      <c r="K35" s="16">
        <f t="shared" si="2"/>
        <v>319.91969999999998</v>
      </c>
      <c r="L35" s="16">
        <v>329.04651397255998</v>
      </c>
      <c r="M35" s="4">
        <f t="shared" si="3"/>
        <v>-2.7737154429543991E-2</v>
      </c>
      <c r="O35" s="1">
        <v>39356</v>
      </c>
      <c r="P35" s="2">
        <v>0.24</v>
      </c>
      <c r="Q35" s="2">
        <f t="shared" si="4"/>
        <v>105.33644116501065</v>
      </c>
      <c r="R35" s="4">
        <f t="shared" si="9"/>
        <v>2.9665673652188085E-2</v>
      </c>
      <c r="S35" s="4">
        <v>4.4999999999999998E-2</v>
      </c>
      <c r="T35" s="4">
        <f t="shared" si="10"/>
        <v>4.1150810449547492E-2</v>
      </c>
      <c r="U35">
        <f t="shared" si="8"/>
        <v>106.54286857979021</v>
      </c>
      <c r="V35" s="41">
        <v>0.3</v>
      </c>
      <c r="W35" s="42">
        <f t="shared" si="5"/>
        <v>1.0029999999999999</v>
      </c>
      <c r="X35" t="str">
        <f t="shared" si="6"/>
        <v>0.3</v>
      </c>
      <c r="Y35" t="str">
        <f t="shared" si="7"/>
        <v>0.24</v>
      </c>
      <c r="AA35">
        <v>38961</v>
      </c>
      <c r="AB35">
        <v>55.237839999999998</v>
      </c>
      <c r="AC35">
        <v>675.08100000000013</v>
      </c>
    </row>
    <row r="36" spans="1:31" x14ac:dyDescent="0.25">
      <c r="A36" s="1">
        <v>39753</v>
      </c>
      <c r="B36" s="4">
        <v>0.13750000000000001</v>
      </c>
      <c r="C36" s="16">
        <f t="shared" si="0"/>
        <v>146.90128285204619</v>
      </c>
      <c r="D36" s="4"/>
      <c r="G36" s="4">
        <v>3.4854515161159685E-2</v>
      </c>
      <c r="I36" s="1">
        <v>39022</v>
      </c>
      <c r="J36">
        <v>27.59928</v>
      </c>
      <c r="K36" s="16">
        <f t="shared" si="2"/>
        <v>320.84741000000002</v>
      </c>
      <c r="L36" s="16">
        <v>330.77237206618702</v>
      </c>
      <c r="M36" s="4">
        <f t="shared" si="3"/>
        <v>-3.000541431011966E-2</v>
      </c>
      <c r="O36" s="1">
        <v>39387</v>
      </c>
      <c r="P36" s="2">
        <v>0.57999999999999996</v>
      </c>
      <c r="Q36" s="2">
        <f t="shared" si="4"/>
        <v>105.94739252376772</v>
      </c>
      <c r="R36" s="4">
        <f t="shared" si="9"/>
        <v>3.4293153459872716E-2</v>
      </c>
      <c r="S36" s="4">
        <v>4.4999999999999998E-2</v>
      </c>
      <c r="T36" s="4">
        <f t="shared" si="10"/>
        <v>4.187736370178019E-2</v>
      </c>
      <c r="U36">
        <f t="shared" si="8"/>
        <v>106.94773148039341</v>
      </c>
      <c r="V36" s="41">
        <v>0.38</v>
      </c>
      <c r="W36" s="42">
        <f t="shared" si="5"/>
        <v>1.0038</v>
      </c>
      <c r="X36" t="str">
        <f t="shared" si="6"/>
        <v>0.38</v>
      </c>
      <c r="Y36" t="str">
        <f t="shared" si="7"/>
        <v>0.58</v>
      </c>
      <c r="AA36">
        <v>38991</v>
      </c>
      <c r="AB36">
        <v>57.926020000000001</v>
      </c>
      <c r="AC36">
        <v>678.28947000000005</v>
      </c>
    </row>
    <row r="37" spans="1:31" x14ac:dyDescent="0.25">
      <c r="A37" s="1">
        <v>39783</v>
      </c>
      <c r="B37" s="4">
        <v>0.13750000000000001</v>
      </c>
      <c r="C37" s="16">
        <f t="shared" si="0"/>
        <v>148.58452671805924</v>
      </c>
      <c r="D37" s="4">
        <f>C37/C25-1</f>
        <v>0.13181393181110401</v>
      </c>
      <c r="G37" s="4">
        <v>3.0940530933739732E-2</v>
      </c>
      <c r="I37" s="1">
        <v>39052</v>
      </c>
      <c r="J37">
        <v>35.948639999999997</v>
      </c>
      <c r="K37" s="16">
        <f t="shared" si="2"/>
        <v>321.82150000000001</v>
      </c>
      <c r="L37" s="16">
        <v>332.59957711321402</v>
      </c>
      <c r="M37" s="19">
        <f t="shared" si="3"/>
        <v>-3.2405564693623302E-2</v>
      </c>
      <c r="O37" s="1">
        <v>39417</v>
      </c>
      <c r="P37" s="2">
        <v>0.51</v>
      </c>
      <c r="Q37" s="2">
        <f t="shared" si="4"/>
        <v>106.48772422563894</v>
      </c>
      <c r="R37" s="4">
        <f t="shared" si="9"/>
        <v>3.7182528726447339E-2</v>
      </c>
      <c r="S37" s="4">
        <v>4.4999999999999998E-2</v>
      </c>
      <c r="T37" s="4">
        <f t="shared" si="10"/>
        <v>4.4573304332378161E-2</v>
      </c>
      <c r="U37">
        <f t="shared" si="8"/>
        <v>107.73914469334834</v>
      </c>
      <c r="V37" s="41">
        <v>0.74</v>
      </c>
      <c r="W37" s="42">
        <f t="shared" si="5"/>
        <v>1.0074000000000001</v>
      </c>
      <c r="X37" t="str">
        <f t="shared" si="6"/>
        <v>0.74</v>
      </c>
      <c r="Y37" t="str">
        <f t="shared" si="7"/>
        <v>0.51</v>
      </c>
      <c r="AA37">
        <v>39022</v>
      </c>
      <c r="AB37">
        <v>58.3596</v>
      </c>
      <c r="AC37">
        <v>679.93705999999997</v>
      </c>
    </row>
    <row r="38" spans="1:31" x14ac:dyDescent="0.25">
      <c r="A38" s="1">
        <v>39814</v>
      </c>
      <c r="B38" s="4">
        <v>0.1342741935483871</v>
      </c>
      <c r="C38" s="16">
        <f t="shared" si="0"/>
        <v>150.24711567629558</v>
      </c>
      <c r="D38" s="4"/>
      <c r="G38" s="4">
        <v>2.5866753576634222E-2</v>
      </c>
      <c r="I38" s="1">
        <v>39083</v>
      </c>
      <c r="J38">
        <v>26.393260000000001</v>
      </c>
      <c r="K38" s="16">
        <f t="shared" si="2"/>
        <v>323.76967999999999</v>
      </c>
      <c r="L38" s="16">
        <v>334.52957317664101</v>
      </c>
      <c r="M38" s="4">
        <f t="shared" si="3"/>
        <v>-3.2164251054000205E-2</v>
      </c>
      <c r="O38" s="1">
        <v>39448</v>
      </c>
      <c r="P38" s="2">
        <v>0.12</v>
      </c>
      <c r="Q38" s="2">
        <f t="shared" si="4"/>
        <v>106.61550949470971</v>
      </c>
      <c r="R38" s="4">
        <f t="shared" si="9"/>
        <v>3.9154555950084324E-2</v>
      </c>
      <c r="S38" s="4">
        <v>4.4999999999999998E-2</v>
      </c>
      <c r="T38" s="4">
        <f t="shared" si="10"/>
        <v>4.5613301648519622E-2</v>
      </c>
      <c r="U38">
        <f t="shared" si="8"/>
        <v>108.32093607469243</v>
      </c>
      <c r="V38" s="41">
        <v>0.54</v>
      </c>
      <c r="W38" s="42">
        <f t="shared" si="5"/>
        <v>1.0054000000000001</v>
      </c>
      <c r="X38" t="str">
        <f t="shared" si="6"/>
        <v>0.54</v>
      </c>
      <c r="Y38" t="str">
        <f t="shared" si="7"/>
        <v>0.12</v>
      </c>
      <c r="AA38">
        <v>39052</v>
      </c>
      <c r="AB38">
        <v>76.396450000000002</v>
      </c>
      <c r="AC38">
        <v>681.67137000000002</v>
      </c>
      <c r="AD38">
        <v>682.16792752583001</v>
      </c>
      <c r="AE38">
        <v>-7.2791098172991005E-4</v>
      </c>
    </row>
    <row r="39" spans="1:31" x14ac:dyDescent="0.25">
      <c r="A39" s="1">
        <v>39845</v>
      </c>
      <c r="B39" s="4">
        <v>0.1275</v>
      </c>
      <c r="C39" s="16">
        <f t="shared" si="0"/>
        <v>151.84349128035623</v>
      </c>
      <c r="D39" s="4"/>
      <c r="G39" s="4">
        <v>1.8180055034943833E-2</v>
      </c>
      <c r="I39" s="1">
        <v>39114</v>
      </c>
      <c r="J39">
        <v>23.702909999999999</v>
      </c>
      <c r="K39" s="16">
        <f t="shared" si="2"/>
        <v>325.34677999999997</v>
      </c>
      <c r="L39" s="16">
        <v>336.56305573772801</v>
      </c>
      <c r="M39" s="4">
        <f t="shared" si="3"/>
        <v>-3.3325926736499853E-2</v>
      </c>
      <c r="O39" s="1">
        <v>39479</v>
      </c>
      <c r="P39" s="2">
        <v>0.36</v>
      </c>
      <c r="Q39" s="2">
        <f t="shared" si="4"/>
        <v>106.99932532889068</v>
      </c>
      <c r="R39" s="4">
        <f t="shared" si="9"/>
        <v>4.3312837486499278E-2</v>
      </c>
      <c r="S39" s="4">
        <v>4.4999999999999998E-2</v>
      </c>
      <c r="T39" s="4">
        <f t="shared" si="10"/>
        <v>4.6133818027277229E-2</v>
      </c>
      <c r="U39">
        <f t="shared" si="8"/>
        <v>108.8517086614584</v>
      </c>
      <c r="V39" s="41">
        <v>0.49</v>
      </c>
      <c r="W39" s="42">
        <f t="shared" si="5"/>
        <v>1.0048999999999999</v>
      </c>
      <c r="X39" t="str">
        <f t="shared" si="6"/>
        <v>0.49</v>
      </c>
      <c r="Y39" t="str">
        <f t="shared" si="7"/>
        <v>0.36</v>
      </c>
      <c r="AA39">
        <v>39083</v>
      </c>
      <c r="AB39">
        <v>55.844850000000001</v>
      </c>
      <c r="AC39">
        <v>685.66028999999992</v>
      </c>
      <c r="AD39">
        <v>687.97398732571696</v>
      </c>
      <c r="AE39">
        <v>-3.3630593137842558E-3</v>
      </c>
    </row>
    <row r="40" spans="1:31" x14ac:dyDescent="0.25">
      <c r="A40" s="1">
        <v>39873</v>
      </c>
      <c r="B40" s="4">
        <v>0.1178225806451613</v>
      </c>
      <c r="C40" s="16">
        <f t="shared" si="0"/>
        <v>153.33437394675812</v>
      </c>
      <c r="D40" s="4"/>
      <c r="G40" s="4">
        <v>1.5374296105612709E-2</v>
      </c>
      <c r="I40" s="1">
        <v>39142</v>
      </c>
      <c r="J40">
        <v>28.898070000000001</v>
      </c>
      <c r="K40" s="16">
        <f t="shared" si="2"/>
        <v>327.34134999999998</v>
      </c>
      <c r="L40" s="16">
        <v>338.699973085149</v>
      </c>
      <c r="M40" s="4">
        <f t="shared" si="3"/>
        <v>-3.3535943276539526E-2</v>
      </c>
      <c r="O40" s="1">
        <v>39508</v>
      </c>
      <c r="P40" s="2">
        <v>0.73</v>
      </c>
      <c r="Q40" s="2">
        <f t="shared" si="4"/>
        <v>107.7804204037916</v>
      </c>
      <c r="R40" s="4">
        <f t="shared" si="9"/>
        <v>4.5180528294530786E-2</v>
      </c>
      <c r="S40" s="4">
        <v>4.4999999999999998E-2</v>
      </c>
      <c r="T40" s="4">
        <f t="shared" si="10"/>
        <v>4.7280323158122917E-2</v>
      </c>
      <c r="U40">
        <f t="shared" si="8"/>
        <v>109.37419686303339</v>
      </c>
      <c r="V40" s="41">
        <v>0.48</v>
      </c>
      <c r="W40" s="42">
        <f t="shared" si="5"/>
        <v>1.0047999999999999</v>
      </c>
      <c r="X40" t="str">
        <f t="shared" si="6"/>
        <v>0.48</v>
      </c>
      <c r="Y40" t="str">
        <f t="shared" si="7"/>
        <v>0.73</v>
      </c>
      <c r="AA40">
        <v>39114</v>
      </c>
      <c r="AB40">
        <v>50.381770000000003</v>
      </c>
      <c r="AC40">
        <v>689.12891999999988</v>
      </c>
      <c r="AD40">
        <v>693.78001264244301</v>
      </c>
      <c r="AE40">
        <v>-6.7039876584628413E-3</v>
      </c>
    </row>
    <row r="41" spans="1:31" x14ac:dyDescent="0.25">
      <c r="A41" s="1">
        <v>39904</v>
      </c>
      <c r="B41" s="4">
        <v>0.11216666666666666</v>
      </c>
      <c r="C41" s="16">
        <f t="shared" si="0"/>
        <v>154.76762441434377</v>
      </c>
      <c r="D41" s="4"/>
      <c r="G41" s="4">
        <v>6.8194405944175382E-3</v>
      </c>
      <c r="I41" s="1">
        <v>39173</v>
      </c>
      <c r="J41">
        <v>28.248670000000001</v>
      </c>
      <c r="K41" s="16">
        <f t="shared" si="2"/>
        <v>329.79976999999997</v>
      </c>
      <c r="L41" s="16">
        <v>340.93949482315497</v>
      </c>
      <c r="M41" s="4">
        <f t="shared" si="3"/>
        <v>-3.2673612157879131E-2</v>
      </c>
      <c r="O41" s="1">
        <v>39539</v>
      </c>
      <c r="P41" s="2">
        <v>0.91</v>
      </c>
      <c r="Q41" s="2">
        <f t="shared" si="4"/>
        <v>108.76122222946611</v>
      </c>
      <c r="R41" s="4">
        <f t="shared" si="9"/>
        <v>5.0280493031279905E-2</v>
      </c>
      <c r="S41" s="4">
        <v>4.4999999999999998E-2</v>
      </c>
      <c r="T41" s="4">
        <f t="shared" si="10"/>
        <v>5.0414329112711043E-2</v>
      </c>
      <c r="U41">
        <f t="shared" si="8"/>
        <v>109.97575494578008</v>
      </c>
      <c r="V41" s="41">
        <v>0.55000000000000004</v>
      </c>
      <c r="W41" s="42">
        <f t="shared" si="5"/>
        <v>1.0055000000000001</v>
      </c>
      <c r="X41" t="str">
        <f t="shared" si="6"/>
        <v>0.55</v>
      </c>
      <c r="Y41" t="str">
        <f t="shared" si="7"/>
        <v>0.91</v>
      </c>
      <c r="AA41" t="s">
        <v>36</v>
      </c>
      <c r="AB41">
        <v>60.961069999999999</v>
      </c>
      <c r="AC41">
        <v>693.20454999999981</v>
      </c>
      <c r="AD41">
        <v>699.58580831942197</v>
      </c>
      <c r="AE41">
        <v>-9.1214805153802623E-3</v>
      </c>
    </row>
    <row r="42" spans="1:31" x14ac:dyDescent="0.25">
      <c r="A42" s="1">
        <v>39934</v>
      </c>
      <c r="B42" s="4">
        <v>0.10249999999999999</v>
      </c>
      <c r="C42" s="16">
        <f t="shared" si="0"/>
        <v>156.08959787288296</v>
      </c>
      <c r="D42" s="4"/>
      <c r="G42" s="4">
        <v>-3.7137894036198956E-4</v>
      </c>
      <c r="I42" s="1">
        <v>39203</v>
      </c>
      <c r="J42">
        <v>30.56794</v>
      </c>
      <c r="K42" s="16">
        <f t="shared" si="2"/>
        <v>332.72205000000002</v>
      </c>
      <c r="L42" s="16">
        <v>343.28000166897499</v>
      </c>
      <c r="M42" s="4">
        <f t="shared" si="3"/>
        <v>-3.0756093036715844E-2</v>
      </c>
      <c r="O42" s="1">
        <v>39569</v>
      </c>
      <c r="P42" s="2">
        <v>0.89</v>
      </c>
      <c r="Q42" s="2">
        <f t="shared" si="4"/>
        <v>109.72919710730835</v>
      </c>
      <c r="R42" s="4">
        <f t="shared" si="9"/>
        <v>5.446112988283236E-2</v>
      </c>
      <c r="S42" s="4">
        <v>4.4999999999999998E-2</v>
      </c>
      <c r="T42" s="4">
        <f t="shared" si="10"/>
        <v>5.5756484157061692E-2</v>
      </c>
      <c r="U42">
        <f t="shared" si="8"/>
        <v>110.84456340985174</v>
      </c>
      <c r="V42" s="41">
        <v>0.79</v>
      </c>
      <c r="W42" s="42">
        <f t="shared" si="5"/>
        <v>1.0079</v>
      </c>
      <c r="X42" t="str">
        <f t="shared" si="6"/>
        <v>0.79</v>
      </c>
      <c r="Y42" t="str">
        <f t="shared" si="7"/>
        <v>0.89</v>
      </c>
      <c r="AA42">
        <v>39173</v>
      </c>
      <c r="AB42">
        <v>59.226759999999999</v>
      </c>
      <c r="AC42">
        <v>697.80047999999988</v>
      </c>
      <c r="AD42">
        <v>705.39085620752201</v>
      </c>
      <c r="AE42">
        <v>-1.0760525375011498E-2</v>
      </c>
    </row>
    <row r="43" spans="1:31" x14ac:dyDescent="0.25">
      <c r="A43" s="1">
        <v>39965</v>
      </c>
      <c r="B43" s="4">
        <v>9.6166666666666678E-2</v>
      </c>
      <c r="C43" s="16">
        <f t="shared" si="0"/>
        <v>157.3404825669476</v>
      </c>
      <c r="D43" s="4"/>
      <c r="G43" s="4">
        <v>-4.486411540696747E-3</v>
      </c>
      <c r="I43" s="1">
        <v>39234</v>
      </c>
      <c r="J43">
        <v>28.619759999999999</v>
      </c>
      <c r="K43" s="16">
        <f t="shared" si="2"/>
        <v>336.38650000000001</v>
      </c>
      <c r="L43" s="16">
        <v>345.71910076381101</v>
      </c>
      <c r="M43" s="4">
        <f t="shared" si="3"/>
        <v>-2.6994750198042611E-2</v>
      </c>
      <c r="O43" s="1">
        <v>39600</v>
      </c>
      <c r="P43" s="2">
        <v>0.9</v>
      </c>
      <c r="Q43" s="2">
        <f t="shared" si="4"/>
        <v>110.71675988127411</v>
      </c>
      <c r="R43" s="4">
        <f t="shared" si="9"/>
        <v>6.1509807494540381E-2</v>
      </c>
      <c r="S43" s="4">
        <v>4.4999999999999998E-2</v>
      </c>
      <c r="T43" s="4">
        <f t="shared" si="10"/>
        <v>6.0599403809158625E-2</v>
      </c>
      <c r="U43">
        <f t="shared" si="8"/>
        <v>111.66481317908466</v>
      </c>
      <c r="V43" s="41">
        <v>0.74</v>
      </c>
      <c r="W43" s="42">
        <f t="shared" si="5"/>
        <v>1.0074000000000001</v>
      </c>
      <c r="X43" t="str">
        <f t="shared" si="6"/>
        <v>0.74</v>
      </c>
      <c r="Y43" t="str">
        <f t="shared" si="7"/>
        <v>0.9</v>
      </c>
      <c r="AA43">
        <v>39203</v>
      </c>
      <c r="AB43">
        <v>63.909399999999998</v>
      </c>
      <c r="AC43">
        <v>703.43699000000004</v>
      </c>
      <c r="AD43">
        <v>711.19419501467598</v>
      </c>
      <c r="AE43">
        <v>-1.0907295179083782E-2</v>
      </c>
    </row>
    <row r="44" spans="1:31" x14ac:dyDescent="0.25">
      <c r="A44" s="1">
        <v>39995</v>
      </c>
      <c r="B44" s="4">
        <v>9.1048387096774194E-2</v>
      </c>
      <c r="C44" s="16">
        <f t="shared" si="0"/>
        <v>158.53428233051</v>
      </c>
      <c r="D44" s="4"/>
      <c r="G44" s="4">
        <v>-1.4098106695457364E-2</v>
      </c>
      <c r="I44" s="1">
        <v>39264</v>
      </c>
      <c r="J44">
        <v>29.222770000000001</v>
      </c>
      <c r="K44" s="16">
        <f t="shared" si="2"/>
        <v>339.44794000000002</v>
      </c>
      <c r="L44" s="16">
        <v>348.25366591541399</v>
      </c>
      <c r="M44" s="4">
        <f t="shared" si="3"/>
        <v>-2.5285378955788973E-2</v>
      </c>
      <c r="O44" s="1">
        <v>39630</v>
      </c>
      <c r="P44" s="2">
        <v>0.62</v>
      </c>
      <c r="Q44" s="2">
        <f t="shared" si="4"/>
        <v>111.40320379253801</v>
      </c>
      <c r="R44" s="4">
        <f t="shared" si="9"/>
        <v>6.2354454248066737E-2</v>
      </c>
      <c r="S44" s="4">
        <v>4.4999999999999998E-2</v>
      </c>
      <c r="T44" s="4">
        <f t="shared" si="10"/>
        <v>6.3667777982189921E-2</v>
      </c>
      <c r="U44">
        <f t="shared" si="8"/>
        <v>112.25663668893382</v>
      </c>
      <c r="V44" s="41">
        <v>0.53</v>
      </c>
      <c r="W44" s="42">
        <f t="shared" si="5"/>
        <v>1.0053000000000001</v>
      </c>
      <c r="X44" t="str">
        <f t="shared" si="6"/>
        <v>0.53</v>
      </c>
      <c r="Y44" t="str">
        <f t="shared" si="7"/>
        <v>0.62</v>
      </c>
      <c r="AA44">
        <v>39234</v>
      </c>
      <c r="AB44">
        <v>59.920479999999998</v>
      </c>
      <c r="AC44">
        <v>710.46095000000003</v>
      </c>
      <c r="AD44">
        <v>716.994336339352</v>
      </c>
      <c r="AE44">
        <v>-9.1121868168561639E-3</v>
      </c>
    </row>
    <row r="45" spans="1:31" x14ac:dyDescent="0.25">
      <c r="A45" s="1">
        <v>40026</v>
      </c>
      <c r="B45" s="4">
        <v>8.7499999999999994E-2</v>
      </c>
      <c r="C45" s="16">
        <f t="shared" si="0"/>
        <v>159.69026147250329</v>
      </c>
      <c r="D45" s="4"/>
      <c r="G45" s="4">
        <v>-2.2170325667118466E-2</v>
      </c>
      <c r="I45" s="1">
        <v>39295</v>
      </c>
      <c r="J45">
        <v>31.449259999999999</v>
      </c>
      <c r="K45" s="16">
        <f t="shared" si="2"/>
        <v>344.04009000000002</v>
      </c>
      <c r="L45" s="16">
        <v>350.87992307731503</v>
      </c>
      <c r="M45" s="4">
        <f t="shared" si="3"/>
        <v>-1.9493372596892287E-2</v>
      </c>
      <c r="O45" s="1">
        <v>39661</v>
      </c>
      <c r="P45" s="2">
        <v>0.2</v>
      </c>
      <c r="Q45" s="2">
        <f t="shared" si="4"/>
        <v>111.62601020012309</v>
      </c>
      <c r="R45" s="4">
        <f t="shared" si="9"/>
        <v>6.0977935967868824E-2</v>
      </c>
      <c r="S45" s="4">
        <v>4.4999999999999998E-2</v>
      </c>
      <c r="T45" s="4">
        <f t="shared" si="10"/>
        <v>6.1656263322922289E-2</v>
      </c>
      <c r="U45">
        <f t="shared" si="8"/>
        <v>112.57095527166283</v>
      </c>
      <c r="V45" s="41">
        <v>0.28000000000000003</v>
      </c>
      <c r="W45" s="42">
        <f t="shared" si="5"/>
        <v>1.0027999999999999</v>
      </c>
      <c r="X45" t="str">
        <f t="shared" si="6"/>
        <v>0.28</v>
      </c>
      <c r="Y45" t="str">
        <f t="shared" si="7"/>
        <v>0.2</v>
      </c>
      <c r="AA45">
        <v>39264</v>
      </c>
      <c r="AB45">
        <v>60.700920000000004</v>
      </c>
      <c r="AC45">
        <v>715.75059999999996</v>
      </c>
      <c r="AD45">
        <v>722.78925308523196</v>
      </c>
      <c r="AE45">
        <v>-9.7381817109032133E-3</v>
      </c>
    </row>
    <row r="46" spans="1:31" x14ac:dyDescent="0.25">
      <c r="A46" s="1">
        <v>40057</v>
      </c>
      <c r="B46" s="4">
        <v>8.7499999999999994E-2</v>
      </c>
      <c r="C46" s="16">
        <f t="shared" si="0"/>
        <v>160.85466962907364</v>
      </c>
      <c r="D46" s="4"/>
      <c r="G46" s="4">
        <v>-2.7040051993781299E-2</v>
      </c>
      <c r="I46" s="1">
        <v>39326</v>
      </c>
      <c r="J46">
        <v>29.129989999999999</v>
      </c>
      <c r="K46" s="16">
        <f t="shared" si="2"/>
        <v>347.19429000000002</v>
      </c>
      <c r="L46" s="16">
        <v>353.593486837358</v>
      </c>
      <c r="M46" s="4">
        <f t="shared" si="3"/>
        <v>-1.809760947407215E-2</v>
      </c>
      <c r="O46" s="1">
        <v>39692</v>
      </c>
      <c r="P46" s="2">
        <v>0.48</v>
      </c>
      <c r="Q46" s="2">
        <f t="shared" si="4"/>
        <v>112.16181504908367</v>
      </c>
      <c r="R46" s="4">
        <f t="shared" si="9"/>
        <v>6.7351451802677653E-2</v>
      </c>
      <c r="S46" s="4">
        <v>4.4999999999999998E-2</v>
      </c>
      <c r="T46" s="4">
        <f t="shared" si="10"/>
        <v>6.2504062295430041E-2</v>
      </c>
      <c r="U46">
        <f t="shared" si="8"/>
        <v>112.86363975536914</v>
      </c>
      <c r="V46" s="41">
        <v>0.26</v>
      </c>
      <c r="W46" s="42">
        <f t="shared" si="5"/>
        <v>1.0025999999999999</v>
      </c>
      <c r="X46" t="str">
        <f t="shared" si="6"/>
        <v>0.26</v>
      </c>
      <c r="Y46" t="str">
        <f t="shared" si="7"/>
        <v>0.48</v>
      </c>
      <c r="AA46">
        <v>39295</v>
      </c>
      <c r="AB46">
        <v>65.383570000000006</v>
      </c>
      <c r="AC46">
        <v>724.24873000000002</v>
      </c>
      <c r="AD46">
        <v>728.57646444860904</v>
      </c>
      <c r="AE46">
        <v>-5.9399866174434778E-3</v>
      </c>
    </row>
    <row r="47" spans="1:31" x14ac:dyDescent="0.25">
      <c r="A47" s="1">
        <v>40087</v>
      </c>
      <c r="B47" s="4">
        <v>8.7499999999999994E-2</v>
      </c>
      <c r="C47" s="16">
        <f t="shared" si="0"/>
        <v>162.02756826178563</v>
      </c>
      <c r="D47" s="4"/>
      <c r="G47" s="4">
        <v>-3.0385766273610511E-2</v>
      </c>
      <c r="I47" s="1">
        <v>39356</v>
      </c>
      <c r="J47">
        <v>32.933590000000002</v>
      </c>
      <c r="K47" s="16">
        <f t="shared" si="2"/>
        <v>352.71413999999999</v>
      </c>
      <c r="L47" s="16">
        <v>356.389496788727</v>
      </c>
      <c r="M47" s="4">
        <f t="shared" si="3"/>
        <v>-1.0312752821966078E-2</v>
      </c>
      <c r="O47" s="1">
        <v>39722</v>
      </c>
      <c r="P47" s="2">
        <v>0.3</v>
      </c>
      <c r="Q47" s="2">
        <f t="shared" si="4"/>
        <v>112.4983004942309</v>
      </c>
      <c r="R47" s="4">
        <f t="shared" si="9"/>
        <v>6.7990329367603408E-2</v>
      </c>
      <c r="S47" s="4">
        <v>4.4999999999999998E-2</v>
      </c>
      <c r="T47" s="4">
        <f t="shared" si="10"/>
        <v>6.4093051421495018E-2</v>
      </c>
      <c r="U47">
        <f t="shared" si="8"/>
        <v>113.37152613426829</v>
      </c>
      <c r="V47" s="41">
        <v>0.45</v>
      </c>
      <c r="W47" s="42">
        <f t="shared" si="5"/>
        <v>1.0044999999999999</v>
      </c>
      <c r="X47" t="str">
        <f t="shared" si="6"/>
        <v>0.45</v>
      </c>
      <c r="Y47" t="str">
        <f t="shared" si="7"/>
        <v>0.3</v>
      </c>
      <c r="AA47">
        <v>39326</v>
      </c>
      <c r="AB47">
        <v>60.787640000000003</v>
      </c>
      <c r="AC47">
        <v>729.79853000000003</v>
      </c>
      <c r="AD47">
        <v>734.353000830425</v>
      </c>
      <c r="AE47">
        <v>-6.2020184097765843E-3</v>
      </c>
    </row>
    <row r="48" spans="1:31" x14ac:dyDescent="0.25">
      <c r="A48" s="1">
        <v>40118</v>
      </c>
      <c r="B48" s="4">
        <v>8.7499999999999994E-2</v>
      </c>
      <c r="C48" s="16">
        <f t="shared" si="0"/>
        <v>163.20901928036116</v>
      </c>
      <c r="D48" s="4"/>
      <c r="G48" s="4">
        <v>-3.0783596154558814E-2</v>
      </c>
      <c r="I48" s="1">
        <v>39387</v>
      </c>
      <c r="J48">
        <v>32.794440000000002</v>
      </c>
      <c r="K48" s="16">
        <f t="shared" si="2"/>
        <v>357.90930000000003</v>
      </c>
      <c r="L48" s="16">
        <v>359.26264783802202</v>
      </c>
      <c r="M48" s="4">
        <f t="shared" si="3"/>
        <v>-3.7670151521907239E-3</v>
      </c>
      <c r="O48" s="1">
        <v>39753</v>
      </c>
      <c r="P48" s="2">
        <v>0.73</v>
      </c>
      <c r="Q48" s="2">
        <f t="shared" si="4"/>
        <v>113.31953808783879</v>
      </c>
      <c r="R48" s="4">
        <f t="shared" si="9"/>
        <v>6.9583076925817222E-2</v>
      </c>
      <c r="S48" s="4">
        <v>4.4999999999999998E-2</v>
      </c>
      <c r="T48" s="4">
        <f t="shared" si="10"/>
        <v>6.3881038460462669E-2</v>
      </c>
      <c r="U48">
        <f t="shared" si="8"/>
        <v>113.77966362835167</v>
      </c>
      <c r="V48" s="41">
        <v>0.36</v>
      </c>
      <c r="W48" s="42">
        <f t="shared" si="5"/>
        <v>1.0036</v>
      </c>
      <c r="X48" t="str">
        <f t="shared" si="6"/>
        <v>0.36</v>
      </c>
      <c r="Y48" t="str">
        <f t="shared" si="7"/>
        <v>0.73</v>
      </c>
      <c r="AA48">
        <v>39356</v>
      </c>
      <c r="AB48">
        <v>68.505330000000001</v>
      </c>
      <c r="AC48">
        <v>740.37783999999999</v>
      </c>
      <c r="AD48">
        <v>740.11559209450604</v>
      </c>
      <c r="AE48">
        <v>3.5433371259183485E-4</v>
      </c>
    </row>
    <row r="49" spans="1:31" ht="15.75" thickBot="1" x14ac:dyDescent="0.3">
      <c r="A49" s="1">
        <v>40148</v>
      </c>
      <c r="B49" s="4">
        <v>8.7499999999999994E-2</v>
      </c>
      <c r="C49" s="16">
        <f t="shared" si="0"/>
        <v>164.39908504594715</v>
      </c>
      <c r="D49" s="4">
        <f>C49/C37-1</f>
        <v>0.10643475923907064</v>
      </c>
      <c r="G49" s="4">
        <v>-2.4678009046937156E-2</v>
      </c>
      <c r="I49" s="1">
        <v>39417</v>
      </c>
      <c r="J49">
        <v>40.262479999999996</v>
      </c>
      <c r="K49" s="16">
        <f t="shared" si="2"/>
        <v>362.22314</v>
      </c>
      <c r="L49" s="16">
        <v>362.20737937123101</v>
      </c>
      <c r="M49" s="20">
        <f t="shared" si="3"/>
        <v>4.3512721348600812E-5</v>
      </c>
      <c r="O49" s="1">
        <v>39783</v>
      </c>
      <c r="P49" s="2">
        <v>0.14000000000000001</v>
      </c>
      <c r="Q49" s="2">
        <f t="shared" si="4"/>
        <v>113.47818544116177</v>
      </c>
      <c r="R49" s="4">
        <f t="shared" si="9"/>
        <v>6.5645700162683562E-2</v>
      </c>
      <c r="S49" s="4">
        <v>4.4999999999999998E-2</v>
      </c>
      <c r="T49" s="4">
        <f t="shared" si="10"/>
        <v>5.9023134175254954E-2</v>
      </c>
      <c r="U49">
        <f t="shared" si="8"/>
        <v>114.09824668651105</v>
      </c>
      <c r="V49" s="45">
        <v>0.28000000000000003</v>
      </c>
      <c r="W49" s="42">
        <f t="shared" si="5"/>
        <v>1.0027999999999999</v>
      </c>
      <c r="X49" t="str">
        <f t="shared" si="6"/>
        <v>0.28</v>
      </c>
      <c r="Y49" t="str">
        <f t="shared" si="7"/>
        <v>0.14</v>
      </c>
      <c r="AA49">
        <v>39387</v>
      </c>
      <c r="AB49">
        <v>67.898319999999998</v>
      </c>
      <c r="AC49">
        <v>749.91656</v>
      </c>
      <c r="AD49">
        <v>745.86065182198502</v>
      </c>
      <c r="AE49">
        <v>5.4378899974240951E-3</v>
      </c>
    </row>
    <row r="50" spans="1:31" ht="15.75" thickTop="1" x14ac:dyDescent="0.25">
      <c r="A50" s="1">
        <v>40179</v>
      </c>
      <c r="B50" s="4">
        <v>8.7499999999999994E-2</v>
      </c>
      <c r="C50" s="16">
        <f t="shared" si="0"/>
        <v>165.59782837440719</v>
      </c>
      <c r="D50" s="4"/>
      <c r="G50" s="4">
        <v>-2.6052134879545229E-2</v>
      </c>
      <c r="I50" s="1">
        <v>39448</v>
      </c>
      <c r="J50">
        <v>30.42878</v>
      </c>
      <c r="K50" s="16">
        <f t="shared" si="2"/>
        <v>366.25866000000002</v>
      </c>
      <c r="L50" s="16">
        <v>365.218036840465</v>
      </c>
      <c r="M50" s="4">
        <f t="shared" si="3"/>
        <v>2.8493202814886785E-3</v>
      </c>
      <c r="O50" s="1">
        <v>39814</v>
      </c>
      <c r="P50" s="2">
        <v>0.24</v>
      </c>
      <c r="Q50" s="2">
        <f t="shared" si="4"/>
        <v>113.75053308622056</v>
      </c>
      <c r="R50" s="4">
        <f t="shared" si="9"/>
        <v>6.6922942312299227E-2</v>
      </c>
      <c r="S50" s="4">
        <v>4.4999999999999998E-2</v>
      </c>
      <c r="T50" s="4">
        <f t="shared" si="10"/>
        <v>5.8391133100553105E-2</v>
      </c>
      <c r="U50">
        <f t="shared" si="8"/>
        <v>114.64591827060629</v>
      </c>
      <c r="V50" s="41">
        <v>0.48</v>
      </c>
      <c r="W50" s="42">
        <f t="shared" si="5"/>
        <v>1.0047999999999999</v>
      </c>
      <c r="X50" t="str">
        <f t="shared" si="6"/>
        <v>0.48</v>
      </c>
      <c r="Y50" t="str">
        <f t="shared" si="7"/>
        <v>0.24</v>
      </c>
      <c r="AA50">
        <v>39417</v>
      </c>
      <c r="AB50">
        <v>83.333699999999993</v>
      </c>
      <c r="AC50">
        <v>756.85380999999995</v>
      </c>
      <c r="AD50">
        <v>751.58461180565098</v>
      </c>
      <c r="AE50">
        <v>7.0107850953599789E-3</v>
      </c>
    </row>
    <row r="51" spans="1:31" x14ac:dyDescent="0.25">
      <c r="A51" s="1">
        <v>40210</v>
      </c>
      <c r="B51" s="4">
        <v>8.7499999999999994E-2</v>
      </c>
      <c r="C51" s="16">
        <f t="shared" si="0"/>
        <v>166.80531253963724</v>
      </c>
      <c r="D51" s="4"/>
      <c r="G51" s="4">
        <v>-2.6537070318916955E-2</v>
      </c>
      <c r="I51" s="1">
        <v>39479</v>
      </c>
      <c r="J51">
        <v>29.08361</v>
      </c>
      <c r="K51" s="16">
        <f t="shared" si="2"/>
        <v>371.63936000000001</v>
      </c>
      <c r="L51" s="16">
        <v>368.28896657426702</v>
      </c>
      <c r="M51" s="4">
        <f t="shared" si="3"/>
        <v>9.0971865296360106E-3</v>
      </c>
      <c r="O51" s="1">
        <v>39845</v>
      </c>
      <c r="P51" s="2">
        <v>0.39</v>
      </c>
      <c r="Q51" s="2">
        <f t="shared" si="4"/>
        <v>114.19416016525682</v>
      </c>
      <c r="R51" s="4">
        <f t="shared" si="9"/>
        <v>6.7241871051531454E-2</v>
      </c>
      <c r="S51" s="4">
        <v>4.4999999999999998E-2</v>
      </c>
      <c r="T51" s="4">
        <f t="shared" si="10"/>
        <v>5.9023071283318185E-2</v>
      </c>
      <c r="U51">
        <f t="shared" si="8"/>
        <v>115.27647082109463</v>
      </c>
      <c r="V51" s="41">
        <v>0.55000000000000004</v>
      </c>
      <c r="W51" s="42">
        <f t="shared" si="5"/>
        <v>1.0055000000000001</v>
      </c>
      <c r="X51" t="str">
        <f t="shared" si="6"/>
        <v>0.55</v>
      </c>
      <c r="Y51" t="str">
        <f t="shared" si="7"/>
        <v>0.39</v>
      </c>
      <c r="AA51">
        <v>39448</v>
      </c>
      <c r="AB51">
        <v>62.7821</v>
      </c>
      <c r="AC51">
        <v>763.79106000000002</v>
      </c>
      <c r="AD51">
        <v>757.28418549858497</v>
      </c>
      <c r="AE51">
        <v>8.5923813358534731E-3</v>
      </c>
    </row>
    <row r="52" spans="1:31" x14ac:dyDescent="0.25">
      <c r="A52" s="1">
        <v>40238</v>
      </c>
      <c r="B52" s="4">
        <v>8.7499999999999994E-2</v>
      </c>
      <c r="C52" s="16">
        <f t="shared" si="0"/>
        <v>168.02160127690544</v>
      </c>
      <c r="D52" s="4"/>
      <c r="G52" s="4">
        <v>-1.9281690006477923E-2</v>
      </c>
      <c r="I52" s="1">
        <v>39508</v>
      </c>
      <c r="J52">
        <v>33.165520000000001</v>
      </c>
      <c r="K52" s="16">
        <f t="shared" si="2"/>
        <v>375.90681000000006</v>
      </c>
      <c r="L52" s="16">
        <v>371.41458725973501</v>
      </c>
      <c r="M52" s="4">
        <f t="shared" si="3"/>
        <v>1.2094901208399712E-2</v>
      </c>
      <c r="O52" s="1">
        <v>39873</v>
      </c>
      <c r="P52" s="2">
        <v>0.15</v>
      </c>
      <c r="Q52" s="2">
        <f t="shared" si="4"/>
        <v>114.36545140550471</v>
      </c>
      <c r="R52" s="4">
        <f t="shared" si="9"/>
        <v>6.1096727745566071E-2</v>
      </c>
      <c r="S52" s="4">
        <v>4.4999999999999998E-2</v>
      </c>
      <c r="T52" s="4">
        <f t="shared" si="10"/>
        <v>5.6071971960474531E-2</v>
      </c>
      <c r="U52">
        <f t="shared" si="8"/>
        <v>115.50702376273682</v>
      </c>
      <c r="V52" s="41">
        <v>0.2</v>
      </c>
      <c r="W52" s="42">
        <f t="shared" si="5"/>
        <v>1.002</v>
      </c>
      <c r="X52" t="str">
        <f t="shared" si="6"/>
        <v>0.2</v>
      </c>
      <c r="Y52" t="str">
        <f t="shared" si="7"/>
        <v>0.15</v>
      </c>
      <c r="AA52">
        <v>39479</v>
      </c>
      <c r="AB52">
        <v>60.354059999999997</v>
      </c>
      <c r="AC52">
        <v>773.76335000000006</v>
      </c>
      <c r="AD52">
        <v>762.95645227041098</v>
      </c>
      <c r="AE52">
        <v>1.4164501391173562E-2</v>
      </c>
    </row>
    <row r="53" spans="1:31" x14ac:dyDescent="0.25">
      <c r="A53" s="1">
        <v>40269</v>
      </c>
      <c r="B53" s="4">
        <v>8.8000000000000009E-2</v>
      </c>
      <c r="C53" s="16">
        <f t="shared" si="0"/>
        <v>169.25375968626943</v>
      </c>
      <c r="D53" s="4"/>
      <c r="G53" s="4">
        <v>-1.7818731465984065E-2</v>
      </c>
      <c r="I53" s="1">
        <v>39539</v>
      </c>
      <c r="J53">
        <v>33.814909999999998</v>
      </c>
      <c r="K53" s="16">
        <f t="shared" si="2"/>
        <v>381.47305000000006</v>
      </c>
      <c r="L53" s="16">
        <v>374.58955029461902</v>
      </c>
      <c r="M53" s="4">
        <f t="shared" si="3"/>
        <v>1.8376112467545048E-2</v>
      </c>
      <c r="O53" s="1">
        <v>39904</v>
      </c>
      <c r="P53" s="2">
        <v>0.91</v>
      </c>
      <c r="Q53" s="2">
        <f t="shared" si="4"/>
        <v>115.40617701329482</v>
      </c>
      <c r="R53" s="4">
        <f t="shared" si="9"/>
        <v>6.1096727745566071E-2</v>
      </c>
      <c r="S53" s="4">
        <v>4.4999999999999998E-2</v>
      </c>
      <c r="T53" s="4">
        <f t="shared" si="10"/>
        <v>5.5336765217190109E-2</v>
      </c>
      <c r="U53">
        <f t="shared" si="8"/>
        <v>116.06145747679795</v>
      </c>
      <c r="V53" s="41">
        <v>0.48</v>
      </c>
      <c r="W53" s="42">
        <f t="shared" si="5"/>
        <v>1.0047999999999999</v>
      </c>
      <c r="X53" t="str">
        <f t="shared" si="6"/>
        <v>0.48</v>
      </c>
      <c r="Y53" t="str">
        <f t="shared" si="7"/>
        <v>0.91</v>
      </c>
      <c r="AA53" t="s">
        <v>37</v>
      </c>
      <c r="AB53">
        <v>68.071749999999994</v>
      </c>
      <c r="AC53">
        <v>780.87402999999995</v>
      </c>
      <c r="AD53">
        <v>768.59894335703405</v>
      </c>
      <c r="AE53">
        <v>1.5970730572893603E-2</v>
      </c>
    </row>
    <row r="54" spans="1:31" x14ac:dyDescent="0.25">
      <c r="A54" s="1">
        <v>40299</v>
      </c>
      <c r="B54" s="4">
        <v>9.5000000000000001E-2</v>
      </c>
      <c r="C54" s="16">
        <f t="shared" si="0"/>
        <v>170.5936852837857</v>
      </c>
      <c r="D54" s="4"/>
      <c r="G54" s="4">
        <v>-1.6824346040185768E-2</v>
      </c>
      <c r="I54" s="1">
        <v>39569</v>
      </c>
      <c r="J54">
        <v>35.206470000000003</v>
      </c>
      <c r="K54" s="16">
        <f t="shared" si="2"/>
        <v>386.11158</v>
      </c>
      <c r="L54" s="16">
        <v>377.80881925811002</v>
      </c>
      <c r="M54" s="4">
        <f t="shared" si="3"/>
        <v>2.1976090336360662E-2</v>
      </c>
      <c r="O54" s="1">
        <v>39934</v>
      </c>
      <c r="P54" s="2">
        <v>0.65</v>
      </c>
      <c r="Q54" s="2">
        <f t="shared" si="4"/>
        <v>116.15631716388123</v>
      </c>
      <c r="R54" s="4">
        <f t="shared" si="9"/>
        <v>5.8572560685808517E-2</v>
      </c>
      <c r="S54" s="4">
        <v>4.4999999999999998E-2</v>
      </c>
      <c r="T54" s="4">
        <f t="shared" si="10"/>
        <v>5.1986157370484065E-2</v>
      </c>
      <c r="U54">
        <f t="shared" si="8"/>
        <v>116.6069463269389</v>
      </c>
      <c r="V54" s="41">
        <v>0.47</v>
      </c>
      <c r="W54" s="42">
        <f t="shared" si="5"/>
        <v>1.0046999999999999</v>
      </c>
      <c r="X54" t="str">
        <f t="shared" si="6"/>
        <v>0.47</v>
      </c>
      <c r="Y54" t="str">
        <f t="shared" si="7"/>
        <v>0.65</v>
      </c>
      <c r="AA54">
        <v>39539</v>
      </c>
      <c r="AB54">
        <v>68.852189999999993</v>
      </c>
      <c r="AC54">
        <v>790.49946</v>
      </c>
      <c r="AD54">
        <v>774.20994047337001</v>
      </c>
      <c r="AE54">
        <v>2.1040183902405328E-2</v>
      </c>
    </row>
    <row r="55" spans="1:31" x14ac:dyDescent="0.25">
      <c r="A55" s="1">
        <v>40330</v>
      </c>
      <c r="B55" s="4">
        <v>0.10025000000000001</v>
      </c>
      <c r="C55" s="16">
        <f t="shared" si="0"/>
        <v>172.01885336292733</v>
      </c>
      <c r="D55" s="4"/>
      <c r="G55" s="4">
        <v>-1.7851617855258899E-2</v>
      </c>
      <c r="I55" s="1">
        <v>39600</v>
      </c>
      <c r="J55">
        <v>34.417920000000002</v>
      </c>
      <c r="K55" s="16">
        <f t="shared" si="2"/>
        <v>391.90974</v>
      </c>
      <c r="L55" s="16">
        <v>381.06783553840802</v>
      </c>
      <c r="M55" s="4">
        <f t="shared" si="3"/>
        <v>2.8451376501702201E-2</v>
      </c>
      <c r="O55" s="1">
        <v>39965</v>
      </c>
      <c r="P55" s="2">
        <v>0.13</v>
      </c>
      <c r="Q55" s="2">
        <f t="shared" si="4"/>
        <v>116.30732037619428</v>
      </c>
      <c r="R55" s="4">
        <f t="shared" si="9"/>
        <v>5.049425670436114E-2</v>
      </c>
      <c r="S55" s="4">
        <v>4.4999999999999998E-2</v>
      </c>
      <c r="T55" s="4">
        <f t="shared" si="10"/>
        <v>4.8017974525528917E-2</v>
      </c>
      <c r="U55">
        <f t="shared" si="8"/>
        <v>117.02673133371589</v>
      </c>
      <c r="V55" s="41">
        <v>0.36</v>
      </c>
      <c r="W55" s="42">
        <f t="shared" si="5"/>
        <v>1.0036</v>
      </c>
      <c r="X55" t="str">
        <f t="shared" si="6"/>
        <v>0.36</v>
      </c>
      <c r="Y55" t="str">
        <f t="shared" si="7"/>
        <v>0.13</v>
      </c>
      <c r="AA55">
        <v>39569</v>
      </c>
      <c r="AB55">
        <v>71.106800000000007</v>
      </c>
      <c r="AC55">
        <v>797.69686000000002</v>
      </c>
      <c r="AD55">
        <v>779.78857777090695</v>
      </c>
      <c r="AE55">
        <v>2.2965561101555801E-2</v>
      </c>
    </row>
    <row r="56" spans="1:31" x14ac:dyDescent="0.25">
      <c r="A56" s="1">
        <v>40360</v>
      </c>
      <c r="B56" s="4">
        <v>0.10411290322580646</v>
      </c>
      <c r="C56" s="16">
        <f t="shared" si="0"/>
        <v>173.51130188235973</v>
      </c>
      <c r="D56" s="4"/>
      <c r="G56" s="4">
        <v>-1.3830695400108943E-2</v>
      </c>
      <c r="I56" s="1">
        <v>39630</v>
      </c>
      <c r="J56">
        <v>35.484789999999997</v>
      </c>
      <c r="K56" s="16">
        <f t="shared" si="2"/>
        <v>398.17176000000001</v>
      </c>
      <c r="L56" s="16">
        <v>384.36261699459601</v>
      </c>
      <c r="M56" s="4">
        <f t="shared" si="3"/>
        <v>3.5927383139859687E-2</v>
      </c>
      <c r="O56" s="1">
        <v>39995</v>
      </c>
      <c r="P56" s="2">
        <v>0.12</v>
      </c>
      <c r="Q56" s="2">
        <f t="shared" si="4"/>
        <v>116.44688916064572</v>
      </c>
      <c r="R56" s="4">
        <f t="shared" si="9"/>
        <v>4.5274150081898723E-2</v>
      </c>
      <c r="S56" s="4">
        <v>4.4999999999999998E-2</v>
      </c>
      <c r="T56" s="4">
        <f t="shared" si="10"/>
        <v>4.4994745513170065E-2</v>
      </c>
      <c r="U56">
        <f t="shared" si="8"/>
        <v>117.3075954889168</v>
      </c>
      <c r="V56" s="41">
        <v>0.24</v>
      </c>
      <c r="W56" s="42">
        <f t="shared" si="5"/>
        <v>1.0024</v>
      </c>
      <c r="X56" t="str">
        <f t="shared" si="6"/>
        <v>0.24</v>
      </c>
      <c r="Y56" t="str">
        <f t="shared" si="7"/>
        <v>0.12</v>
      </c>
      <c r="AA56">
        <v>39600</v>
      </c>
      <c r="AB56">
        <v>69.025620000000004</v>
      </c>
      <c r="AC56">
        <v>806.80200000000002</v>
      </c>
      <c r="AD56">
        <v>785.33512061776605</v>
      </c>
      <c r="AE56">
        <v>2.7334673846430724E-2</v>
      </c>
    </row>
    <row r="57" spans="1:31" x14ac:dyDescent="0.25">
      <c r="A57" s="1">
        <v>40391</v>
      </c>
      <c r="B57" s="4">
        <v>0.1075</v>
      </c>
      <c r="C57" s="16">
        <f t="shared" si="0"/>
        <v>175.06567396172255</v>
      </c>
      <c r="D57" s="4"/>
      <c r="G57" s="4">
        <v>-8.5602470576066174E-3</v>
      </c>
      <c r="I57" s="1">
        <v>39661</v>
      </c>
      <c r="J57">
        <v>35.02093</v>
      </c>
      <c r="K57" s="16">
        <f t="shared" si="2"/>
        <v>401.74342999999999</v>
      </c>
      <c r="L57" s="16">
        <v>387.68993441384401</v>
      </c>
      <c r="M57" s="4">
        <f t="shared" si="3"/>
        <v>3.6249317660010258E-2</v>
      </c>
      <c r="O57" s="1">
        <v>40026</v>
      </c>
      <c r="P57" s="2">
        <v>0.03</v>
      </c>
      <c r="Q57" s="2">
        <f t="shared" si="4"/>
        <v>116.48182322739392</v>
      </c>
      <c r="R57" s="4">
        <f t="shared" si="9"/>
        <v>4.3500730865192905E-2</v>
      </c>
      <c r="S57" s="4">
        <v>4.4999999999999998E-2</v>
      </c>
      <c r="T57" s="4">
        <f t="shared" si="10"/>
        <v>4.364004550402889E-2</v>
      </c>
      <c r="U57">
        <f t="shared" si="8"/>
        <v>117.48355688215018</v>
      </c>
      <c r="V57" s="41">
        <v>0.15</v>
      </c>
      <c r="W57" s="42">
        <f t="shared" si="5"/>
        <v>1.0015000000000001</v>
      </c>
      <c r="X57" t="str">
        <f t="shared" si="6"/>
        <v>0.15</v>
      </c>
      <c r="Y57" t="str">
        <f t="shared" si="7"/>
        <v>0.03</v>
      </c>
      <c r="AA57">
        <v>39630</v>
      </c>
      <c r="AB57">
        <v>70.586500000000001</v>
      </c>
      <c r="AC57">
        <v>816.68757999999991</v>
      </c>
      <c r="AD57">
        <v>790.85107801278104</v>
      </c>
      <c r="AE57">
        <v>3.2669237869839912E-2</v>
      </c>
    </row>
    <row r="58" spans="1:31" x14ac:dyDescent="0.25">
      <c r="A58" s="1">
        <v>40422</v>
      </c>
      <c r="B58" s="4">
        <v>0.1075</v>
      </c>
      <c r="C58" s="16">
        <f t="shared" si="0"/>
        <v>176.63397062429632</v>
      </c>
      <c r="D58" s="4"/>
      <c r="G58" s="4">
        <v>-8.2717648939619332E-3</v>
      </c>
      <c r="I58" s="1">
        <v>39692</v>
      </c>
      <c r="J58">
        <v>34.835389999999997</v>
      </c>
      <c r="K58" s="16">
        <f t="shared" si="2"/>
        <v>407.44882999999999</v>
      </c>
      <c r="L58" s="16">
        <v>391.04751742936702</v>
      </c>
      <c r="M58" s="4">
        <f t="shared" si="3"/>
        <v>4.1941993848856121E-2</v>
      </c>
      <c r="O58" s="1">
        <v>40057</v>
      </c>
      <c r="P58" s="2">
        <v>0.26</v>
      </c>
      <c r="Q58" s="2">
        <f t="shared" si="4"/>
        <v>116.78467596778513</v>
      </c>
      <c r="R58" s="4">
        <f t="shared" si="9"/>
        <v>4.1215995984715814E-2</v>
      </c>
      <c r="S58" s="4">
        <v>4.4999999999999998E-2</v>
      </c>
      <c r="T58" s="4">
        <f t="shared" si="10"/>
        <v>4.3431858780409449E-2</v>
      </c>
      <c r="U58">
        <f t="shared" si="8"/>
        <v>117.76551741866734</v>
      </c>
      <c r="V58" s="41">
        <v>0.24</v>
      </c>
      <c r="W58" s="42">
        <f t="shared" si="5"/>
        <v>1.0024</v>
      </c>
      <c r="X58" t="str">
        <f t="shared" si="6"/>
        <v>0.24</v>
      </c>
      <c r="Y58" t="str">
        <f t="shared" si="7"/>
        <v>0.26</v>
      </c>
      <c r="AA58">
        <v>39661</v>
      </c>
      <c r="AB58">
        <v>69.285769999999999</v>
      </c>
      <c r="AC58">
        <v>820.58978000000002</v>
      </c>
      <c r="AD58">
        <v>796.33944971029598</v>
      </c>
      <c r="AE58">
        <v>3.0452252865943261E-2</v>
      </c>
    </row>
    <row r="59" spans="1:31" x14ac:dyDescent="0.25">
      <c r="A59" s="1">
        <v>40452</v>
      </c>
      <c r="B59" s="4">
        <v>0.1075</v>
      </c>
      <c r="C59" s="16">
        <f t="shared" si="0"/>
        <v>178.21631661113898</v>
      </c>
      <c r="D59" s="4"/>
      <c r="G59" s="4">
        <v>-5.7249724276753631E-3</v>
      </c>
      <c r="I59" s="1">
        <v>39722</v>
      </c>
      <c r="J59">
        <v>36.087800000000001</v>
      </c>
      <c r="K59" s="16">
        <f t="shared" si="2"/>
        <v>410.60304000000002</v>
      </c>
      <c r="L59" s="16">
        <v>394.43407137337698</v>
      </c>
      <c r="M59" s="4">
        <f t="shared" si="3"/>
        <v>4.099282947419941E-2</v>
      </c>
      <c r="O59" s="1">
        <v>40087</v>
      </c>
      <c r="P59" s="2">
        <v>0.14000000000000001</v>
      </c>
      <c r="Q59" s="2">
        <f t="shared" si="4"/>
        <v>116.94817451414004</v>
      </c>
      <c r="R59" s="4">
        <f t="shared" si="9"/>
        <v>3.9555033279256691E-2</v>
      </c>
      <c r="S59" s="4">
        <v>4.4999999999999998E-2</v>
      </c>
      <c r="T59" s="4">
        <f t="shared" si="10"/>
        <v>4.1665971114977163E-2</v>
      </c>
      <c r="U59">
        <f t="shared" si="8"/>
        <v>118.09526086743961</v>
      </c>
      <c r="V59" s="41">
        <v>0.28000000000000003</v>
      </c>
      <c r="W59" s="42">
        <f t="shared" si="5"/>
        <v>1.0027999999999999</v>
      </c>
      <c r="X59" t="str">
        <f t="shared" si="6"/>
        <v>0.28</v>
      </c>
      <c r="Y59" t="str">
        <f t="shared" si="7"/>
        <v>0.14</v>
      </c>
      <c r="AA59">
        <v>39692</v>
      </c>
      <c r="AB59">
        <v>68.852189999999993</v>
      </c>
      <c r="AC59">
        <v>828.65432999999996</v>
      </c>
      <c r="AD59">
        <v>801.80502966618201</v>
      </c>
      <c r="AE59">
        <v>3.3486071227310961E-2</v>
      </c>
    </row>
    <row r="60" spans="1:31" x14ac:dyDescent="0.25">
      <c r="A60" s="1">
        <v>40483</v>
      </c>
      <c r="B60" s="4">
        <v>0.1075</v>
      </c>
      <c r="C60" s="16">
        <f t="shared" si="0"/>
        <v>179.81283778078046</v>
      </c>
      <c r="D60" s="4"/>
      <c r="G60" s="4">
        <v>1.458528796525593E-3</v>
      </c>
      <c r="I60" s="1">
        <v>39753</v>
      </c>
      <c r="J60">
        <v>33.907690000000002</v>
      </c>
      <c r="K60" s="16">
        <f t="shared" si="2"/>
        <v>411.71629000000001</v>
      </c>
      <c r="L60" s="16">
        <v>397.84944063937598</v>
      </c>
      <c r="M60" s="4">
        <f t="shared" si="3"/>
        <v>3.4854515161159685E-2</v>
      </c>
      <c r="O60" s="1">
        <v>40118</v>
      </c>
      <c r="P60" s="2">
        <v>0.6</v>
      </c>
      <c r="Q60" s="2">
        <f t="shared" si="4"/>
        <v>117.64986356122488</v>
      </c>
      <c r="R60" s="4">
        <f t="shared" si="9"/>
        <v>3.8213405617921525E-2</v>
      </c>
      <c r="S60" s="4">
        <v>4.4999999999999998E-2</v>
      </c>
      <c r="T60" s="4">
        <f t="shared" si="10"/>
        <v>4.2184935827569214E-2</v>
      </c>
      <c r="U60">
        <f t="shared" si="8"/>
        <v>118.57945143699611</v>
      </c>
      <c r="V60" s="41">
        <v>0.41</v>
      </c>
      <c r="W60" s="42">
        <f t="shared" si="5"/>
        <v>1.0041</v>
      </c>
      <c r="X60" t="str">
        <f t="shared" si="6"/>
        <v>0.41</v>
      </c>
      <c r="Y60" t="str">
        <f t="shared" si="7"/>
        <v>0.6</v>
      </c>
      <c r="AA60">
        <v>39722</v>
      </c>
      <c r="AB60">
        <v>71.193510000000003</v>
      </c>
      <c r="AC60">
        <v>831.34250999999995</v>
      </c>
      <c r="AD60">
        <v>807.25429588702605</v>
      </c>
      <c r="AE60">
        <v>2.9839685258664771E-2</v>
      </c>
    </row>
    <row r="61" spans="1:31" x14ac:dyDescent="0.25">
      <c r="A61" s="1">
        <v>40513</v>
      </c>
      <c r="B61" s="4">
        <v>0.1075</v>
      </c>
      <c r="C61" s="16">
        <f t="shared" si="0"/>
        <v>181.42366111923329</v>
      </c>
      <c r="D61" s="4">
        <f>C61/C49-1</f>
        <v>0.10355639186512522</v>
      </c>
      <c r="G61" s="4">
        <v>9.5392832766999502E-3</v>
      </c>
      <c r="I61" s="1">
        <v>39783</v>
      </c>
      <c r="J61">
        <v>42.25705</v>
      </c>
      <c r="K61" s="16">
        <f t="shared" si="2"/>
        <v>413.71086000000003</v>
      </c>
      <c r="L61" s="16">
        <v>401.29459225479798</v>
      </c>
      <c r="M61" s="18">
        <f t="shared" si="3"/>
        <v>3.0940530933739732E-2</v>
      </c>
      <c r="O61" s="1">
        <v>40148</v>
      </c>
      <c r="P61" s="2">
        <v>0.03</v>
      </c>
      <c r="Q61" s="2">
        <f t="shared" si="4"/>
        <v>117.68515852029324</v>
      </c>
      <c r="R61" s="4">
        <f t="shared" si="9"/>
        <v>3.7072967485127561E-2</v>
      </c>
      <c r="S61" s="4">
        <v>4.4999999999999998E-2</v>
      </c>
      <c r="T61" s="4">
        <f t="shared" si="10"/>
        <v>4.3120283296900208E-2</v>
      </c>
      <c r="U61">
        <f t="shared" si="8"/>
        <v>119.018195407313</v>
      </c>
      <c r="V61" s="41">
        <v>0.37</v>
      </c>
      <c r="W61" s="42">
        <f t="shared" si="5"/>
        <v>1.0037</v>
      </c>
      <c r="X61" t="str">
        <f t="shared" si="6"/>
        <v>0.37</v>
      </c>
      <c r="Y61" t="str">
        <f t="shared" si="7"/>
        <v>0.03</v>
      </c>
      <c r="AA61">
        <v>39753</v>
      </c>
      <c r="AB61">
        <v>66.077290000000005</v>
      </c>
      <c r="AC61">
        <v>829.52147999999988</v>
      </c>
      <c r="AD61">
        <v>812.69559091416102</v>
      </c>
      <c r="AE61">
        <v>2.0703802597122813E-2</v>
      </c>
    </row>
    <row r="62" spans="1:31" x14ac:dyDescent="0.25">
      <c r="A62" s="1">
        <v>40544</v>
      </c>
      <c r="B62" s="4">
        <v>0.10943548387096774</v>
      </c>
      <c r="C62" s="16">
        <f t="shared" si="0"/>
        <v>183.07817663091876</v>
      </c>
      <c r="D62" s="4"/>
      <c r="G62" s="4">
        <v>1.0604105528108589E-2</v>
      </c>
      <c r="I62" s="1">
        <v>39814</v>
      </c>
      <c r="J62">
        <v>31.959499999999998</v>
      </c>
      <c r="K62" s="16">
        <f t="shared" si="2"/>
        <v>415.24158</v>
      </c>
      <c r="L62" s="16">
        <v>404.77145648036702</v>
      </c>
      <c r="M62" s="4">
        <f t="shared" si="3"/>
        <v>2.5866753576634222E-2</v>
      </c>
      <c r="O62" s="1">
        <v>40179</v>
      </c>
      <c r="P62" s="2">
        <v>0.55000000000000004</v>
      </c>
      <c r="Q62" s="2">
        <f t="shared" si="4"/>
        <v>118.33242689215486</v>
      </c>
      <c r="R62" s="4">
        <f t="shared" si="9"/>
        <v>4.0280196335091611E-2</v>
      </c>
      <c r="S62" s="4">
        <v>4.4999999999999998E-2</v>
      </c>
      <c r="T62" s="4">
        <f t="shared" si="10"/>
        <v>4.5923253803370923E-2</v>
      </c>
      <c r="U62">
        <f t="shared" si="8"/>
        <v>119.91083187286786</v>
      </c>
      <c r="V62" s="41">
        <v>0.75</v>
      </c>
      <c r="W62" s="42">
        <f t="shared" si="5"/>
        <v>1.0075000000000001</v>
      </c>
      <c r="X62" t="str">
        <f t="shared" si="6"/>
        <v>0.75</v>
      </c>
      <c r="Y62" t="str">
        <f t="shared" si="7"/>
        <v>0.55</v>
      </c>
      <c r="AA62">
        <v>39783</v>
      </c>
      <c r="AB62">
        <v>83.073549999999997</v>
      </c>
      <c r="AC62">
        <v>829.26132999999993</v>
      </c>
      <c r="AD62">
        <v>818.13893008156401</v>
      </c>
      <c r="AE62">
        <v>1.3594756965454601E-2</v>
      </c>
    </row>
    <row r="63" spans="1:31" x14ac:dyDescent="0.25">
      <c r="A63" s="1">
        <v>40575</v>
      </c>
      <c r="B63" s="4">
        <v>0.1125</v>
      </c>
      <c r="C63" s="16">
        <f t="shared" si="0"/>
        <v>184.79453453683359</v>
      </c>
      <c r="D63" s="4"/>
      <c r="G63" s="4">
        <v>1.4592449294609797E-2</v>
      </c>
      <c r="I63" s="1">
        <v>39845</v>
      </c>
      <c r="J63">
        <v>29.547460000000001</v>
      </c>
      <c r="K63" s="16">
        <f t="shared" si="2"/>
        <v>415.70542999999998</v>
      </c>
      <c r="L63" s="16">
        <v>408.28282575789899</v>
      </c>
      <c r="M63" s="4">
        <f t="shared" si="3"/>
        <v>1.8180055034943833E-2</v>
      </c>
      <c r="O63" s="1">
        <v>40210</v>
      </c>
      <c r="P63" s="2">
        <v>0.74</v>
      </c>
      <c r="Q63" s="2">
        <f t="shared" si="4"/>
        <v>119.20808685115681</v>
      </c>
      <c r="R63" s="4">
        <f t="shared" si="9"/>
        <v>4.3907032361760523E-2</v>
      </c>
      <c r="S63" s="4">
        <v>4.4999999999999998E-2</v>
      </c>
      <c r="T63" s="4">
        <f t="shared" si="10"/>
        <v>4.831571873002205E-2</v>
      </c>
      <c r="U63">
        <f t="shared" si="8"/>
        <v>120.84613636147623</v>
      </c>
      <c r="V63" s="41">
        <v>0.78</v>
      </c>
      <c r="W63" s="42">
        <f t="shared" si="5"/>
        <v>1.0078</v>
      </c>
      <c r="X63" t="str">
        <f t="shared" si="6"/>
        <v>0.78</v>
      </c>
      <c r="Y63" t="str">
        <f t="shared" si="7"/>
        <v>0.74</v>
      </c>
      <c r="AA63">
        <v>39814</v>
      </c>
      <c r="AB63">
        <v>63.389110000000002</v>
      </c>
      <c r="AC63">
        <v>829.86833999999976</v>
      </c>
      <c r="AD63">
        <v>823.59549718773496</v>
      </c>
      <c r="AE63">
        <v>7.6164122238212423E-3</v>
      </c>
    </row>
    <row r="64" spans="1:31" x14ac:dyDescent="0.25">
      <c r="A64" s="1">
        <v>40603</v>
      </c>
      <c r="B64" s="4">
        <v>0.1171774193548387</v>
      </c>
      <c r="C64" s="16">
        <f t="shared" si="0"/>
        <v>186.59901342582566</v>
      </c>
      <c r="D64" s="4"/>
      <c r="G64" s="4">
        <v>7.9184849818297789E-3</v>
      </c>
      <c r="I64" s="1">
        <v>39873</v>
      </c>
      <c r="J64">
        <v>35.623939999999997</v>
      </c>
      <c r="K64" s="16">
        <f t="shared" si="2"/>
        <v>418.16384999999997</v>
      </c>
      <c r="L64" s="16">
        <v>411.83221951140001</v>
      </c>
      <c r="M64" s="4">
        <f t="shared" si="3"/>
        <v>1.5374296105612709E-2</v>
      </c>
      <c r="O64" s="1">
        <v>40238</v>
      </c>
      <c r="P64" s="2">
        <v>0.8</v>
      </c>
      <c r="Q64" s="2">
        <f t="shared" si="4"/>
        <v>120.16175154596606</v>
      </c>
      <c r="R64" s="4">
        <f t="shared" si="9"/>
        <v>5.0682265222820266E-2</v>
      </c>
      <c r="S64" s="4">
        <v>4.4999999999999998E-2</v>
      </c>
      <c r="T64" s="4">
        <f t="shared" si="10"/>
        <v>5.1663633201016079E-2</v>
      </c>
      <c r="U64">
        <f t="shared" si="8"/>
        <v>121.47453627055592</v>
      </c>
      <c r="V64" s="41">
        <v>0.52</v>
      </c>
      <c r="W64" s="42">
        <f t="shared" si="5"/>
        <v>1.0052000000000001</v>
      </c>
      <c r="X64" t="str">
        <f t="shared" si="6"/>
        <v>0.52</v>
      </c>
      <c r="Y64" t="str">
        <f t="shared" si="7"/>
        <v>0.8</v>
      </c>
      <c r="AA64">
        <v>39845</v>
      </c>
      <c r="AB64">
        <v>58.879899999999999</v>
      </c>
      <c r="AC64">
        <v>828.39417999999989</v>
      </c>
      <c r="AD64">
        <v>829.07724842005496</v>
      </c>
      <c r="AE64">
        <v>-8.2388995881477363E-4</v>
      </c>
    </row>
    <row r="65" spans="1:31" x14ac:dyDescent="0.25">
      <c r="A65" s="1">
        <v>40634</v>
      </c>
      <c r="B65" s="4">
        <v>0.11800000000000001</v>
      </c>
      <c r="C65" s="16">
        <f t="shared" si="0"/>
        <v>188.43390372451296</v>
      </c>
      <c r="D65" s="4"/>
      <c r="G65" s="4">
        <v>8.8253612127217416E-3</v>
      </c>
      <c r="I65" s="1">
        <v>39904</v>
      </c>
      <c r="J65">
        <v>33.907690000000002</v>
      </c>
      <c r="K65" s="16">
        <f t="shared" si="2"/>
        <v>418.25662999999997</v>
      </c>
      <c r="L65" s="16">
        <v>415.423672940865</v>
      </c>
      <c r="M65" s="4">
        <f t="shared" si="3"/>
        <v>6.8194405944175382E-3</v>
      </c>
      <c r="O65" s="1">
        <v>40269</v>
      </c>
      <c r="P65" s="2">
        <v>0.56000000000000005</v>
      </c>
      <c r="Q65" s="2">
        <f t="shared" si="4"/>
        <v>120.83465735462347</v>
      </c>
      <c r="R65" s="4">
        <f t="shared" si="9"/>
        <v>4.7038039746375881E-2</v>
      </c>
      <c r="S65" s="4">
        <v>4.4999999999999998E-2</v>
      </c>
      <c r="T65" s="4">
        <f t="shared" si="10"/>
        <v>5.2605608987123853E-2</v>
      </c>
      <c r="U65">
        <f t="shared" si="8"/>
        <v>122.16694112729809</v>
      </c>
      <c r="V65" s="41">
        <v>0.56999999999999995</v>
      </c>
      <c r="W65" s="42">
        <f t="shared" si="5"/>
        <v>1.0057</v>
      </c>
      <c r="X65" t="str">
        <f t="shared" si="6"/>
        <v>0.57</v>
      </c>
      <c r="Y65" t="str">
        <f t="shared" si="7"/>
        <v>0.56</v>
      </c>
      <c r="AA65" t="s">
        <v>38</v>
      </c>
      <c r="AB65">
        <v>71.453659999999999</v>
      </c>
      <c r="AC65">
        <v>831.77608999999995</v>
      </c>
      <c r="AD65">
        <v>834.59657557999105</v>
      </c>
      <c r="AE65">
        <v>-3.37945980431449E-3</v>
      </c>
    </row>
    <row r="66" spans="1:31" x14ac:dyDescent="0.25">
      <c r="A66" s="1">
        <v>40664</v>
      </c>
      <c r="B66" s="4">
        <v>0.12</v>
      </c>
      <c r="C66" s="16">
        <f t="shared" si="0"/>
        <v>190.31824276175809</v>
      </c>
      <c r="D66" s="4"/>
      <c r="G66" s="4">
        <v>9.9479789468230016E-3</v>
      </c>
      <c r="I66" s="1">
        <v>39934</v>
      </c>
      <c r="J66">
        <v>35.855870000000003</v>
      </c>
      <c r="K66" s="16">
        <f t="shared" si="2"/>
        <v>418.90602999999999</v>
      </c>
      <c r="L66" s="16">
        <v>419.06166067548799</v>
      </c>
      <c r="M66" s="4">
        <f t="shared" si="3"/>
        <v>-3.7137894036198956E-4</v>
      </c>
      <c r="O66" s="1">
        <v>40299</v>
      </c>
      <c r="P66" s="2">
        <v>0.06</v>
      </c>
      <c r="Q66" s="2">
        <f t="shared" si="4"/>
        <v>120.90715814903623</v>
      </c>
      <c r="R66" s="4">
        <f t="shared" si="9"/>
        <v>4.0900409905835655E-2</v>
      </c>
      <c r="S66" s="4">
        <v>4.4999999999999998E-2</v>
      </c>
      <c r="T66" s="4">
        <f t="shared" si="10"/>
        <v>5.2186536384760007E-2</v>
      </c>
      <c r="U66">
        <f t="shared" si="8"/>
        <v>122.69225897414546</v>
      </c>
      <c r="V66" s="41">
        <v>0.43</v>
      </c>
      <c r="W66" s="42">
        <f t="shared" si="5"/>
        <v>1.0043</v>
      </c>
      <c r="X66" t="str">
        <f t="shared" si="6"/>
        <v>0.43</v>
      </c>
      <c r="Y66" t="str">
        <f t="shared" si="7"/>
        <v>0.06</v>
      </c>
      <c r="AA66">
        <v>39904</v>
      </c>
      <c r="AB66">
        <v>66.857730000000004</v>
      </c>
      <c r="AC66">
        <v>829.78162999999995</v>
      </c>
      <c r="AD66">
        <v>840.16582303370296</v>
      </c>
      <c r="AE66">
        <v>-1.2359694656713565E-2</v>
      </c>
    </row>
    <row r="67" spans="1:31" x14ac:dyDescent="0.25">
      <c r="A67" s="1">
        <v>40695</v>
      </c>
      <c r="B67" s="4">
        <v>0.12183333333333334</v>
      </c>
      <c r="C67" s="16">
        <f t="shared" ref="C67:C130" si="11">C66*(1+B67/12)</f>
        <v>192.25050158757537</v>
      </c>
      <c r="D67" s="4"/>
      <c r="G67" s="4">
        <v>1.0498518896186646E-2</v>
      </c>
      <c r="I67" s="1">
        <v>39965</v>
      </c>
      <c r="J67">
        <v>36.366109999999999</v>
      </c>
      <c r="K67" s="16">
        <f t="shared" si="2"/>
        <v>420.85421999999994</v>
      </c>
      <c r="L67" s="16">
        <v>422.75085431162302</v>
      </c>
      <c r="M67" s="4">
        <f t="shared" si="3"/>
        <v>-4.486411540696747E-3</v>
      </c>
      <c r="O67" s="1">
        <v>40330</v>
      </c>
      <c r="P67" s="2">
        <v>-0.15</v>
      </c>
      <c r="Q67" s="2">
        <f t="shared" si="4"/>
        <v>120.72579741181269</v>
      </c>
      <c r="R67" s="4">
        <f t="shared" si="9"/>
        <v>3.798967271644571E-2</v>
      </c>
      <c r="S67" s="4">
        <v>4.4999999999999998E-2</v>
      </c>
      <c r="T67" s="4">
        <f t="shared" si="10"/>
        <v>4.8412252276564427E-2</v>
      </c>
      <c r="U67">
        <f t="shared" si="8"/>
        <v>122.69225897414546</v>
      </c>
      <c r="V67" s="41">
        <v>0</v>
      </c>
      <c r="W67" s="42">
        <f t="shared" si="5"/>
        <v>1</v>
      </c>
      <c r="X67" t="str">
        <f t="shared" si="6"/>
        <v>0</v>
      </c>
      <c r="Y67" t="str">
        <f t="shared" si="7"/>
        <v>-0.15</v>
      </c>
      <c r="AA67">
        <v>39934</v>
      </c>
      <c r="AB67">
        <v>71.106800000000007</v>
      </c>
      <c r="AC67">
        <v>829.78163000000018</v>
      </c>
      <c r="AD67">
        <v>845.79713928029696</v>
      </c>
      <c r="AE67">
        <v>-1.893540251735144E-2</v>
      </c>
    </row>
    <row r="68" spans="1:31" x14ac:dyDescent="0.25">
      <c r="A68" s="1">
        <v>40725</v>
      </c>
      <c r="B68" s="4">
        <v>0.12338709677419354</v>
      </c>
      <c r="C68" s="16">
        <f t="shared" si="11"/>
        <v>194.22727085793147</v>
      </c>
      <c r="D68" s="4"/>
      <c r="G68" s="4">
        <v>8.2430165294736183E-3</v>
      </c>
      <c r="I68" s="1">
        <v>39995</v>
      </c>
      <c r="J68">
        <v>35.113700000000001</v>
      </c>
      <c r="K68" s="16">
        <f t="shared" si="2"/>
        <v>420.48312999999996</v>
      </c>
      <c r="L68" s="16">
        <v>426.49591491362901</v>
      </c>
      <c r="M68" s="4">
        <f t="shared" si="3"/>
        <v>-1.4098106695457364E-2</v>
      </c>
      <c r="O68" s="1">
        <v>40360</v>
      </c>
      <c r="P68" s="2">
        <v>0.18</v>
      </c>
      <c r="Q68" s="2">
        <f t="shared" si="4"/>
        <v>120.94310384715396</v>
      </c>
      <c r="R68" s="4">
        <f t="shared" si="9"/>
        <v>3.8611720063259414E-2</v>
      </c>
      <c r="S68" s="4">
        <v>4.4999999999999998E-2</v>
      </c>
      <c r="T68" s="4">
        <f t="shared" si="10"/>
        <v>4.6006677475850077E-2</v>
      </c>
      <c r="U68">
        <f t="shared" si="8"/>
        <v>122.70452820004287</v>
      </c>
      <c r="V68" s="41">
        <v>0.01</v>
      </c>
      <c r="W68" s="42">
        <f t="shared" si="5"/>
        <v>1.0001</v>
      </c>
      <c r="X68" t="str">
        <f t="shared" si="6"/>
        <v>0.01</v>
      </c>
      <c r="Y68" t="str">
        <f t="shared" si="7"/>
        <v>0.18</v>
      </c>
      <c r="AA68">
        <v>39965</v>
      </c>
      <c r="AB68">
        <v>72.927819999999997</v>
      </c>
      <c r="AC68">
        <v>833.68383000000006</v>
      </c>
      <c r="AD68">
        <v>851.50195169436097</v>
      </c>
      <c r="AE68">
        <v>-2.0925520674269185E-2</v>
      </c>
    </row>
    <row r="69" spans="1:31" x14ac:dyDescent="0.25">
      <c r="A69" s="1">
        <v>40756</v>
      </c>
      <c r="B69" s="4">
        <v>0.125</v>
      </c>
      <c r="C69" s="16">
        <f t="shared" si="11"/>
        <v>196.25047159603494</v>
      </c>
      <c r="D69" s="4"/>
      <c r="G69" s="4">
        <v>6.7015975283430821E-3</v>
      </c>
      <c r="I69" s="1">
        <v>40026</v>
      </c>
      <c r="J69">
        <v>35.299250000000001</v>
      </c>
      <c r="K69" s="16">
        <f t="shared" si="2"/>
        <v>420.76144999999997</v>
      </c>
      <c r="L69" s="16">
        <v>430.30137154209598</v>
      </c>
      <c r="M69" s="4">
        <f t="shared" si="3"/>
        <v>-2.2170325667118466E-2</v>
      </c>
      <c r="O69" s="1">
        <v>40391</v>
      </c>
      <c r="P69" s="2">
        <v>0.24</v>
      </c>
      <c r="Q69" s="2">
        <f t="shared" si="4"/>
        <v>121.23336729638713</v>
      </c>
      <c r="R69" s="4">
        <f t="shared" si="9"/>
        <v>4.0792150546247186E-2</v>
      </c>
      <c r="S69" s="4">
        <v>4.4999999999999998E-2</v>
      </c>
      <c r="T69" s="4">
        <f t="shared" si="10"/>
        <v>4.4857793456655415E-2</v>
      </c>
      <c r="U69">
        <f t="shared" si="8"/>
        <v>122.75361001132289</v>
      </c>
      <c r="V69" s="41">
        <v>0.04</v>
      </c>
      <c r="W69" s="42">
        <f t="shared" si="5"/>
        <v>1.0004</v>
      </c>
      <c r="X69" t="str">
        <f t="shared" si="6"/>
        <v>0.04</v>
      </c>
      <c r="Y69" t="str">
        <f t="shared" si="7"/>
        <v>0.24</v>
      </c>
      <c r="AA69">
        <v>39995</v>
      </c>
      <c r="AB69">
        <v>69.806060000000002</v>
      </c>
      <c r="AC69">
        <v>832.90339000000017</v>
      </c>
      <c r="AD69">
        <v>857.29057546234105</v>
      </c>
      <c r="AE69">
        <v>-2.8446813904595594E-2</v>
      </c>
    </row>
    <row r="70" spans="1:31" x14ac:dyDescent="0.25">
      <c r="A70" s="1">
        <v>40787</v>
      </c>
      <c r="B70" s="4">
        <v>0.12</v>
      </c>
      <c r="C70" s="16">
        <f t="shared" si="11"/>
        <v>198.21297631199531</v>
      </c>
      <c r="D70" s="4"/>
      <c r="G70" s="4">
        <v>4.0705801085925775E-3</v>
      </c>
      <c r="I70" s="1">
        <v>40057</v>
      </c>
      <c r="J70">
        <v>36.50526</v>
      </c>
      <c r="K70" s="16">
        <f t="shared" si="2"/>
        <v>422.43132000000003</v>
      </c>
      <c r="L70" s="16">
        <v>434.17133548574401</v>
      </c>
      <c r="M70" s="4">
        <f t="shared" si="3"/>
        <v>-2.7040051993781299E-2</v>
      </c>
      <c r="O70" s="1">
        <v>40422</v>
      </c>
      <c r="P70" s="2">
        <v>0.19</v>
      </c>
      <c r="Q70" s="2">
        <f t="shared" si="4"/>
        <v>121.46371069425027</v>
      </c>
      <c r="R70" s="4">
        <f t="shared" si="9"/>
        <v>4.0065485370322396E-2</v>
      </c>
      <c r="S70" s="4">
        <v>4.4999999999999998E-2</v>
      </c>
      <c r="T70" s="4">
        <f t="shared" si="10"/>
        <v>4.704674134797493E-2</v>
      </c>
      <c r="U70">
        <f t="shared" si="8"/>
        <v>123.30600125637383</v>
      </c>
      <c r="V70" s="41">
        <v>0.45</v>
      </c>
      <c r="W70" s="42">
        <f t="shared" si="5"/>
        <v>1.0044999999999999</v>
      </c>
      <c r="X70" t="str">
        <f t="shared" si="6"/>
        <v>0.45</v>
      </c>
      <c r="Y70" t="str">
        <f t="shared" si="7"/>
        <v>0.19</v>
      </c>
      <c r="AA70">
        <v>40026</v>
      </c>
      <c r="AB70">
        <v>70.499790000000004</v>
      </c>
      <c r="AC70">
        <v>834.11741000000006</v>
      </c>
      <c r="AD70">
        <v>863.17208840112096</v>
      </c>
      <c r="AE70">
        <v>-3.366035439693113E-2</v>
      </c>
    </row>
    <row r="71" spans="1:31" x14ac:dyDescent="0.25">
      <c r="A71" s="1">
        <v>40817</v>
      </c>
      <c r="B71" s="4">
        <v>0.11806451612903227</v>
      </c>
      <c r="C71" s="16">
        <f t="shared" si="11"/>
        <v>200.16313624022621</v>
      </c>
      <c r="D71" s="4"/>
      <c r="G71" s="4">
        <v>-3.7627587895056589E-4</v>
      </c>
      <c r="I71" s="1">
        <v>40087</v>
      </c>
      <c r="J71">
        <v>38.453449999999997</v>
      </c>
      <c r="K71" s="16">
        <f t="shared" si="2"/>
        <v>424.79696999999999</v>
      </c>
      <c r="L71" s="16">
        <v>438.10925543804598</v>
      </c>
      <c r="M71" s="4">
        <f t="shared" si="3"/>
        <v>-3.0385766273610511E-2</v>
      </c>
      <c r="O71" s="1">
        <v>40452</v>
      </c>
      <c r="P71" s="2">
        <v>0.63</v>
      </c>
      <c r="Q71" s="2">
        <f t="shared" si="4"/>
        <v>122.22893207162404</v>
      </c>
      <c r="R71" s="4">
        <f t="shared" si="9"/>
        <v>4.5154681374231398E-2</v>
      </c>
      <c r="S71" s="4">
        <v>4.4999999999999998E-2</v>
      </c>
      <c r="T71" s="4">
        <f t="shared" si="10"/>
        <v>5.1954120371046075E-2</v>
      </c>
      <c r="U71">
        <f t="shared" si="8"/>
        <v>124.23079626579664</v>
      </c>
      <c r="V71" s="41">
        <v>0.75</v>
      </c>
      <c r="W71" s="42">
        <f t="shared" si="5"/>
        <v>1.0075000000000001</v>
      </c>
      <c r="X71" t="str">
        <f t="shared" si="6"/>
        <v>0.75</v>
      </c>
      <c r="Y71" t="str">
        <f t="shared" si="7"/>
        <v>0.63</v>
      </c>
      <c r="AA71">
        <v>40057</v>
      </c>
      <c r="AB71">
        <v>73.448120000000003</v>
      </c>
      <c r="AC71">
        <v>838.71334000000002</v>
      </c>
      <c r="AD71">
        <v>869.153874773035</v>
      </c>
      <c r="AE71">
        <v>-3.5023182495716329E-2</v>
      </c>
    </row>
    <row r="72" spans="1:31" x14ac:dyDescent="0.25">
      <c r="A72" s="1">
        <v>40848</v>
      </c>
      <c r="B72" s="4">
        <v>0.115</v>
      </c>
      <c r="C72" s="16">
        <f t="shared" si="11"/>
        <v>202.0813662958617</v>
      </c>
      <c r="D72" s="4"/>
      <c r="G72" s="4">
        <v>-4.8303608617506358E-3</v>
      </c>
      <c r="I72" s="1">
        <v>40118</v>
      </c>
      <c r="J72">
        <v>37.618510000000001</v>
      </c>
      <c r="K72" s="16">
        <f t="shared" si="2"/>
        <v>428.50779</v>
      </c>
      <c r="L72" s="16">
        <v>442.11776472195697</v>
      </c>
      <c r="M72" s="4">
        <f t="shared" si="3"/>
        <v>-3.0783596154558814E-2</v>
      </c>
      <c r="O72" s="1">
        <v>40483</v>
      </c>
      <c r="P72" s="2">
        <v>0.66</v>
      </c>
      <c r="Q72" s="2">
        <f t="shared" si="4"/>
        <v>123.03564302329676</v>
      </c>
      <c r="R72" s="4">
        <f t="shared" si="9"/>
        <v>4.5778034066899842E-2</v>
      </c>
      <c r="S72" s="4">
        <v>4.4999999999999998E-2</v>
      </c>
      <c r="T72" s="4">
        <f t="shared" si="10"/>
        <v>5.6354286993452574E-2</v>
      </c>
      <c r="U72">
        <f t="shared" si="8"/>
        <v>125.26191187480275</v>
      </c>
      <c r="V72" s="41">
        <v>0.83</v>
      </c>
      <c r="W72" s="42">
        <f t="shared" si="5"/>
        <v>1.0083</v>
      </c>
      <c r="X72" t="str">
        <f t="shared" si="6"/>
        <v>0.83</v>
      </c>
      <c r="Y72" t="str">
        <f t="shared" si="7"/>
        <v>0.66</v>
      </c>
      <c r="AA72">
        <v>40087</v>
      </c>
      <c r="AB72">
        <v>76.656589999999994</v>
      </c>
      <c r="AC72">
        <v>844.17642000000001</v>
      </c>
      <c r="AD72">
        <v>875.24130115442199</v>
      </c>
      <c r="AE72">
        <v>-3.5492933335582039E-2</v>
      </c>
    </row>
    <row r="73" spans="1:31" x14ac:dyDescent="0.25">
      <c r="A73" s="1">
        <v>40878</v>
      </c>
      <c r="B73" s="4">
        <v>0.11</v>
      </c>
      <c r="C73" s="16">
        <f t="shared" si="11"/>
        <v>203.93377882024046</v>
      </c>
      <c r="D73" s="4">
        <f>C73/C61-1</f>
        <v>0.12407487293629971</v>
      </c>
      <c r="G73" s="4">
        <v>-5.2264710822694785E-3</v>
      </c>
      <c r="I73" s="1">
        <v>40148</v>
      </c>
      <c r="J73">
        <v>48.936540000000001</v>
      </c>
      <c r="K73" s="16">
        <f t="shared" si="2"/>
        <v>435.18727999999999</v>
      </c>
      <c r="L73" s="16">
        <v>446.19857240658001</v>
      </c>
      <c r="M73" s="19">
        <f t="shared" si="3"/>
        <v>-2.4678009046937156E-2</v>
      </c>
      <c r="O73" s="1">
        <v>40513</v>
      </c>
      <c r="P73" s="2">
        <v>0.56000000000000005</v>
      </c>
      <c r="Q73" s="2">
        <f t="shared" si="4"/>
        <v>123.72464262422723</v>
      </c>
      <c r="R73" s="4">
        <f t="shared" si="9"/>
        <v>5.1318995359066921E-2</v>
      </c>
      <c r="S73" s="4">
        <v>4.4999999999999998E-2</v>
      </c>
      <c r="T73" s="4">
        <f t="shared" si="10"/>
        <v>5.9090683472662331E-2</v>
      </c>
      <c r="U73">
        <f t="shared" si="8"/>
        <v>126.051061919614</v>
      </c>
      <c r="V73" s="41">
        <v>0.63</v>
      </c>
      <c r="W73" s="42">
        <f t="shared" si="5"/>
        <v>1.0063</v>
      </c>
      <c r="X73" t="str">
        <f t="shared" si="6"/>
        <v>0.63</v>
      </c>
      <c r="Y73" t="str">
        <f t="shared" si="7"/>
        <v>0.56</v>
      </c>
      <c r="AA73">
        <v>40118</v>
      </c>
      <c r="AB73">
        <v>74.835570000000004</v>
      </c>
      <c r="AC73">
        <v>852.93470000000002</v>
      </c>
      <c r="AD73">
        <v>881.43762019559199</v>
      </c>
      <c r="AE73">
        <v>-3.2336854636709447E-2</v>
      </c>
    </row>
    <row r="74" spans="1:31" x14ac:dyDescent="0.25">
      <c r="A74" s="1">
        <v>40909</v>
      </c>
      <c r="B74" s="4">
        <v>0.10790322580645162</v>
      </c>
      <c r="C74" s="16">
        <f t="shared" si="11"/>
        <v>205.76753820237408</v>
      </c>
      <c r="D74" s="4"/>
      <c r="G74" s="4">
        <v>-5.5298073172668121E-3</v>
      </c>
      <c r="I74" s="1">
        <v>40179</v>
      </c>
      <c r="J74">
        <v>35.392020000000002</v>
      </c>
      <c r="K74" s="16">
        <f t="shared" si="2"/>
        <v>438.6198</v>
      </c>
      <c r="L74" s="16">
        <v>450.35244257735798</v>
      </c>
      <c r="M74" s="4">
        <f t="shared" si="3"/>
        <v>-2.6052134879545229E-2</v>
      </c>
      <c r="O74" s="1">
        <v>40544</v>
      </c>
      <c r="P74" s="2">
        <v>0.47</v>
      </c>
      <c r="Q74" s="2">
        <f t="shared" si="4"/>
        <v>124.30614844456109</v>
      </c>
      <c r="R74" s="4">
        <f t="shared" si="9"/>
        <v>5.0482540663604691E-2</v>
      </c>
      <c r="S74" s="4">
        <v>4.4999999999999998E-2</v>
      </c>
      <c r="T74" s="4">
        <f t="shared" si="10"/>
        <v>5.9931648779637969E-2</v>
      </c>
      <c r="U74">
        <f t="shared" si="8"/>
        <v>127.0972857335468</v>
      </c>
      <c r="V74" s="41">
        <v>0.83</v>
      </c>
      <c r="W74" s="42">
        <f t="shared" si="5"/>
        <v>1.0083</v>
      </c>
      <c r="X74" t="str">
        <f t="shared" si="6"/>
        <v>0.83</v>
      </c>
      <c r="Y74" t="str">
        <f t="shared" si="7"/>
        <v>0.47</v>
      </c>
      <c r="AA74">
        <v>40148</v>
      </c>
      <c r="AB74">
        <v>97.555059999999997</v>
      </c>
      <c r="AC74">
        <v>867.41620999999998</v>
      </c>
      <c r="AD74">
        <v>887.74392726344104</v>
      </c>
      <c r="AE74">
        <v>-2.2898176646618435E-2</v>
      </c>
    </row>
    <row r="75" spans="1:31" x14ac:dyDescent="0.25">
      <c r="A75" s="1">
        <v>40940</v>
      </c>
      <c r="B75" s="4">
        <v>0.105</v>
      </c>
      <c r="C75" s="16">
        <f t="shared" si="11"/>
        <v>207.56800416164486</v>
      </c>
      <c r="D75" s="4"/>
      <c r="G75" s="4">
        <v>-1.16027900069484E-2</v>
      </c>
      <c r="I75" s="1">
        <v>40210</v>
      </c>
      <c r="J75">
        <v>33.443829999999998</v>
      </c>
      <c r="K75" s="16">
        <f t="shared" si="2"/>
        <v>442.51616999999999</v>
      </c>
      <c r="L75" s="16">
        <v>454.57937483554002</v>
      </c>
      <c r="M75" s="4">
        <f t="shared" si="3"/>
        <v>-2.6537070318916955E-2</v>
      </c>
      <c r="O75" s="1">
        <v>40575</v>
      </c>
      <c r="P75" s="2">
        <v>0.83</v>
      </c>
      <c r="Q75" s="2">
        <f t="shared" si="4"/>
        <v>125.33788947665094</v>
      </c>
      <c r="R75" s="4">
        <f t="shared" si="9"/>
        <v>5.1421030128164125E-2</v>
      </c>
      <c r="S75" s="4">
        <v>4.4999999999999998E-2</v>
      </c>
      <c r="T75" s="4">
        <f t="shared" si="10"/>
        <v>6.014199441345025E-2</v>
      </c>
      <c r="U75">
        <f t="shared" si="8"/>
        <v>128.11406401941517</v>
      </c>
      <c r="V75" s="41">
        <v>0.8</v>
      </c>
      <c r="W75" s="42">
        <f t="shared" si="5"/>
        <v>1.008</v>
      </c>
      <c r="X75" t="str">
        <f t="shared" si="6"/>
        <v>0.8</v>
      </c>
      <c r="Y75" t="str">
        <f t="shared" si="7"/>
        <v>0.83</v>
      </c>
      <c r="AA75">
        <v>40179</v>
      </c>
      <c r="AB75">
        <v>69.892780000000002</v>
      </c>
      <c r="AC75">
        <v>873.91987999999992</v>
      </c>
      <c r="AD75">
        <v>894.15933835540898</v>
      </c>
      <c r="AE75">
        <v>-2.263518087574265E-2</v>
      </c>
    </row>
    <row r="76" spans="1:31" x14ac:dyDescent="0.25">
      <c r="A76" s="1">
        <v>40969</v>
      </c>
      <c r="B76" s="4">
        <v>9.9193548387096778E-2</v>
      </c>
      <c r="C76" s="16">
        <f t="shared" si="11"/>
        <v>209.28378806701332</v>
      </c>
      <c r="D76" s="4"/>
      <c r="G76" s="4">
        <v>-1.1019133654178719E-2</v>
      </c>
      <c r="I76" s="1">
        <v>40238</v>
      </c>
      <c r="J76">
        <v>43.138370000000002</v>
      </c>
      <c r="K76" s="16">
        <f t="shared" si="2"/>
        <v>450.03059999999999</v>
      </c>
      <c r="L76" s="16">
        <v>458.87855402941602</v>
      </c>
      <c r="M76" s="4">
        <f t="shared" si="3"/>
        <v>-1.9281690006477923E-2</v>
      </c>
      <c r="O76" s="1">
        <v>40603</v>
      </c>
      <c r="P76" s="2">
        <v>0.75</v>
      </c>
      <c r="Q76" s="2">
        <f t="shared" si="4"/>
        <v>126.27792364772583</v>
      </c>
      <c r="R76" s="4">
        <f t="shared" si="9"/>
        <v>5.0899491918775297E-2</v>
      </c>
      <c r="S76" s="4">
        <v>4.4999999999999998E-2</v>
      </c>
      <c r="T76" s="4">
        <f t="shared" si="10"/>
        <v>6.2989570403219508E-2</v>
      </c>
      <c r="U76">
        <f t="shared" si="8"/>
        <v>129.12616512516854</v>
      </c>
      <c r="V76" s="41">
        <v>0.79</v>
      </c>
      <c r="W76" s="42">
        <f t="shared" si="5"/>
        <v>1.0079</v>
      </c>
      <c r="X76" t="str">
        <f t="shared" si="6"/>
        <v>0.79</v>
      </c>
      <c r="Y76" t="str">
        <f t="shared" si="7"/>
        <v>0.75</v>
      </c>
      <c r="AA76">
        <v>40210</v>
      </c>
      <c r="AB76">
        <v>65.557000000000002</v>
      </c>
      <c r="AC76">
        <v>880.59698000000003</v>
      </c>
      <c r="AD76">
        <v>900.68155782190297</v>
      </c>
      <c r="AE76">
        <v>-2.2299310613701252E-2</v>
      </c>
    </row>
    <row r="77" spans="1:31" x14ac:dyDescent="0.25">
      <c r="A77" s="1">
        <v>41000</v>
      </c>
      <c r="B77" s="4">
        <v>9.4499999999999987E-2</v>
      </c>
      <c r="C77" s="16">
        <f t="shared" si="11"/>
        <v>210.93189789804106</v>
      </c>
      <c r="D77" s="4"/>
      <c r="G77" s="4">
        <v>-1.611236386547097E-2</v>
      </c>
      <c r="I77" s="1">
        <v>40269</v>
      </c>
      <c r="J77">
        <v>38.870919999999998</v>
      </c>
      <c r="K77" s="16">
        <f t="shared" si="2"/>
        <v>454.99383</v>
      </c>
      <c r="L77" s="16">
        <v>463.24832755069201</v>
      </c>
      <c r="M77" s="4">
        <f t="shared" si="3"/>
        <v>-1.7818731465984065E-2</v>
      </c>
      <c r="O77" s="1">
        <v>40634</v>
      </c>
      <c r="P77" s="2">
        <v>1.04</v>
      </c>
      <c r="Q77" s="2">
        <f t="shared" si="4"/>
        <v>127.59121405366217</v>
      </c>
      <c r="R77" s="4">
        <f t="shared" si="9"/>
        <v>5.5915718610511478E-2</v>
      </c>
      <c r="S77" s="4">
        <v>4.4999999999999998E-2</v>
      </c>
      <c r="T77" s="4">
        <f t="shared" si="10"/>
        <v>6.5103500144500615E-2</v>
      </c>
      <c r="U77">
        <f t="shared" si="8"/>
        <v>130.12043659663235</v>
      </c>
      <c r="V77" s="41">
        <v>0.77</v>
      </c>
      <c r="W77" s="42">
        <f t="shared" si="5"/>
        <v>1.0077</v>
      </c>
      <c r="X77" t="str">
        <f t="shared" si="6"/>
        <v>0.77</v>
      </c>
      <c r="Y77" t="str">
        <f t="shared" si="7"/>
        <v>1.04</v>
      </c>
      <c r="AA77" t="s">
        <v>39</v>
      </c>
      <c r="AB77">
        <v>85.068010000000001</v>
      </c>
      <c r="AC77">
        <v>894.21133000000009</v>
      </c>
      <c r="AD77">
        <v>907.30688449538798</v>
      </c>
      <c r="AE77">
        <v>-1.4433434507301432E-2</v>
      </c>
    </row>
    <row r="78" spans="1:31" x14ac:dyDescent="0.25">
      <c r="A78" s="1">
        <v>41030</v>
      </c>
      <c r="B78" s="4">
        <v>8.9838709677419359E-2</v>
      </c>
      <c r="C78" s="16">
        <f t="shared" si="11"/>
        <v>212.51105202612183</v>
      </c>
      <c r="D78" s="4"/>
      <c r="G78" s="4">
        <v>-1.8477993409891123E-2</v>
      </c>
      <c r="I78" s="1">
        <v>40299</v>
      </c>
      <c r="J78">
        <v>40.679949999999998</v>
      </c>
      <c r="K78" s="16">
        <f t="shared" ref="K78:K141" si="12">SUM(J67:J78)</f>
        <v>459.81791000000004</v>
      </c>
      <c r="L78" s="16">
        <v>467.68642830815497</v>
      </c>
      <c r="M78" s="4">
        <f t="shared" ref="M78:M141" si="13">(K78-L78)/L78</f>
        <v>-1.6824346040185768E-2</v>
      </c>
      <c r="O78" s="1">
        <v>40664</v>
      </c>
      <c r="P78" s="2">
        <v>0.5</v>
      </c>
      <c r="Q78" s="2">
        <f t="shared" si="4"/>
        <v>128.22917012393046</v>
      </c>
      <c r="R78" s="4">
        <f t="shared" si="9"/>
        <v>6.0558961826468138E-2</v>
      </c>
      <c r="S78" s="4">
        <v>4.4999999999999998E-2</v>
      </c>
      <c r="T78" s="4">
        <f t="shared" si="10"/>
        <v>6.5527717410315489E-2</v>
      </c>
      <c r="U78">
        <f t="shared" si="8"/>
        <v>130.7320026486365</v>
      </c>
      <c r="V78" s="41">
        <v>0.47</v>
      </c>
      <c r="W78" s="42">
        <f t="shared" si="5"/>
        <v>1.0046999999999999</v>
      </c>
      <c r="X78" t="str">
        <f t="shared" si="6"/>
        <v>0.47</v>
      </c>
      <c r="Y78" t="str">
        <f t="shared" si="7"/>
        <v>0.5</v>
      </c>
      <c r="AA78">
        <v>40269</v>
      </c>
      <c r="AB78">
        <v>74.922280000000001</v>
      </c>
      <c r="AC78">
        <v>902.27588000000003</v>
      </c>
      <c r="AD78">
        <v>914.03022244598105</v>
      </c>
      <c r="AE78">
        <v>-1.2859905676341793E-2</v>
      </c>
    </row>
    <row r="79" spans="1:31" x14ac:dyDescent="0.25">
      <c r="A79" s="1">
        <v>41061</v>
      </c>
      <c r="B79" s="4">
        <v>8.5000000000000006E-2</v>
      </c>
      <c r="C79" s="16">
        <f t="shared" si="11"/>
        <v>214.0163386446402</v>
      </c>
      <c r="D79" s="4"/>
      <c r="G79" s="4">
        <v>-1.7076136569264985E-2</v>
      </c>
      <c r="I79" s="1">
        <v>40330</v>
      </c>
      <c r="J79">
        <v>40.308860000000003</v>
      </c>
      <c r="K79" s="16">
        <f t="shared" si="12"/>
        <v>463.76065999999997</v>
      </c>
      <c r="L79" s="16">
        <v>472.19001571562399</v>
      </c>
      <c r="M79" s="4">
        <f t="shared" si="13"/>
        <v>-1.7851617855258899E-2</v>
      </c>
      <c r="O79" s="1">
        <v>40695</v>
      </c>
      <c r="P79" s="2">
        <v>0.14000000000000001</v>
      </c>
      <c r="Q79" s="2">
        <f t="shared" ref="Q79:Q142" si="14">Q78*(1+P79/100)</f>
        <v>128.40869096210398</v>
      </c>
      <c r="R79" s="4">
        <f t="shared" si="9"/>
        <v>6.3639203177791925E-2</v>
      </c>
      <c r="S79" s="4">
        <v>4.4999999999999998E-2</v>
      </c>
      <c r="T79" s="4">
        <f t="shared" si="10"/>
        <v>6.7126008986430952E-2</v>
      </c>
      <c r="U79">
        <f t="shared" si="8"/>
        <v>130.92810065260946</v>
      </c>
      <c r="V79" s="41">
        <v>0.15</v>
      </c>
      <c r="W79" s="42">
        <f t="shared" ref="W79:W142" si="15">1+V79/100</f>
        <v>1.0015000000000001</v>
      </c>
      <c r="X79" t="str">
        <f t="shared" ref="X79:X142" si="16">SUBSTITUTE(V79,",",".")</f>
        <v>0.15</v>
      </c>
      <c r="Y79" t="str">
        <f t="shared" ref="Y79:Y142" si="17">SUBSTITUTE(P79,",",".")</f>
        <v>0.14</v>
      </c>
      <c r="AA79">
        <v>40299</v>
      </c>
      <c r="AB79">
        <v>78.217479999999995</v>
      </c>
      <c r="AC79">
        <v>909.38656000000003</v>
      </c>
      <c r="AD79">
        <v>920.84556633029297</v>
      </c>
      <c r="AE79">
        <v>-1.2444004455555765E-2</v>
      </c>
    </row>
    <row r="80" spans="1:31" x14ac:dyDescent="0.25">
      <c r="A80" s="1">
        <v>41091</v>
      </c>
      <c r="B80" s="4">
        <v>8.1774193548387095E-2</v>
      </c>
      <c r="C80" s="16">
        <f t="shared" si="11"/>
        <v>215.47475643621053</v>
      </c>
      <c r="D80" s="4"/>
      <c r="G80" s="4">
        <v>-1.7690776692862294E-2</v>
      </c>
      <c r="I80" s="1">
        <v>40360</v>
      </c>
      <c r="J80">
        <v>41.514879999999998</v>
      </c>
      <c r="K80" s="16">
        <f t="shared" si="12"/>
        <v>470.16184000000004</v>
      </c>
      <c r="L80" s="16">
        <v>476.755702907174</v>
      </c>
      <c r="M80" s="4">
        <f t="shared" si="13"/>
        <v>-1.3830695400108943E-2</v>
      </c>
      <c r="O80" s="1">
        <v>40725</v>
      </c>
      <c r="P80" s="2">
        <v>0.2</v>
      </c>
      <c r="Q80" s="2">
        <f t="shared" si="14"/>
        <v>128.66550834402818</v>
      </c>
      <c r="R80" s="4">
        <f t="shared" si="9"/>
        <v>6.385154879631405E-2</v>
      </c>
      <c r="S80" s="4">
        <v>4.4999999999999998E-2</v>
      </c>
      <c r="T80" s="4">
        <f t="shared" si="10"/>
        <v>6.8726537947014554E-2</v>
      </c>
      <c r="U80">
        <f t="shared" ref="U80:U143" si="18">U79*W80</f>
        <v>131.13758561365364</v>
      </c>
      <c r="V80" s="41">
        <v>0.16</v>
      </c>
      <c r="W80" s="42">
        <f t="shared" si="15"/>
        <v>1.0016</v>
      </c>
      <c r="X80" t="str">
        <f t="shared" si="16"/>
        <v>0.16</v>
      </c>
      <c r="Y80" t="str">
        <f t="shared" si="17"/>
        <v>0.2</v>
      </c>
      <c r="AA80">
        <v>40330</v>
      </c>
      <c r="AB80">
        <v>78.130759999999995</v>
      </c>
      <c r="AC80">
        <v>914.58950000000004</v>
      </c>
      <c r="AD80">
        <v>927.74609453115397</v>
      </c>
      <c r="AE80">
        <v>-1.4181244856441835E-2</v>
      </c>
    </row>
    <row r="81" spans="1:31" x14ac:dyDescent="0.25">
      <c r="A81" s="1">
        <v>41122</v>
      </c>
      <c r="B81" s="4">
        <v>7.9677419354838713E-2</v>
      </c>
      <c r="C81" s="16">
        <f t="shared" si="11"/>
        <v>216.90546248028966</v>
      </c>
      <c r="D81" s="4"/>
      <c r="G81" s="4">
        <v>-1.1901620756654085E-2</v>
      </c>
      <c r="I81" s="1">
        <v>40391</v>
      </c>
      <c r="J81">
        <v>42.3962</v>
      </c>
      <c r="K81" s="16">
        <f t="shared" si="12"/>
        <v>477.25879000000003</v>
      </c>
      <c r="L81" s="16">
        <v>481.37951759911999</v>
      </c>
      <c r="M81" s="4">
        <f t="shared" si="13"/>
        <v>-8.5602470576066174E-3</v>
      </c>
      <c r="O81" s="1">
        <v>40756</v>
      </c>
      <c r="P81" s="2">
        <v>0.14000000000000001</v>
      </c>
      <c r="Q81" s="2">
        <f t="shared" si="14"/>
        <v>128.84564005570982</v>
      </c>
      <c r="R81" s="4">
        <f t="shared" si="9"/>
        <v>6.2790244378121418E-2</v>
      </c>
      <c r="S81" s="4">
        <v>4.4999999999999998E-2</v>
      </c>
      <c r="T81" s="4">
        <f t="shared" si="10"/>
        <v>7.2251925367271763E-2</v>
      </c>
      <c r="U81">
        <f t="shared" si="18"/>
        <v>131.62279468042416</v>
      </c>
      <c r="V81" s="41">
        <v>0.37</v>
      </c>
      <c r="W81" s="42">
        <f t="shared" si="15"/>
        <v>1.0037</v>
      </c>
      <c r="X81" t="str">
        <f t="shared" si="16"/>
        <v>0.37</v>
      </c>
      <c r="Y81" t="str">
        <f t="shared" si="17"/>
        <v>0.14</v>
      </c>
      <c r="AA81">
        <v>40360</v>
      </c>
      <c r="AB81">
        <v>80.558800000000005</v>
      </c>
      <c r="AC81">
        <v>925.34224000000006</v>
      </c>
      <c r="AD81">
        <v>934.724189667063</v>
      </c>
      <c r="AE81">
        <v>-1.0037131563273946E-2</v>
      </c>
    </row>
    <row r="82" spans="1:31" x14ac:dyDescent="0.25">
      <c r="A82" s="1">
        <v>41153</v>
      </c>
      <c r="B82" s="4">
        <v>7.4999999999999997E-2</v>
      </c>
      <c r="C82" s="16">
        <f t="shared" si="11"/>
        <v>218.2611216207915</v>
      </c>
      <c r="D82" s="4"/>
      <c r="G82" s="4">
        <v>-1.5827999573089301E-2</v>
      </c>
      <c r="I82" s="1">
        <v>40422</v>
      </c>
      <c r="J82">
        <v>41.28295</v>
      </c>
      <c r="K82" s="16">
        <f t="shared" si="12"/>
        <v>482.03647999999998</v>
      </c>
      <c r="L82" s="16">
        <v>486.05702947285698</v>
      </c>
      <c r="M82" s="4">
        <f t="shared" si="13"/>
        <v>-8.2717648939619332E-3</v>
      </c>
      <c r="O82" s="1">
        <v>40787</v>
      </c>
      <c r="P82" s="2">
        <v>0.51</v>
      </c>
      <c r="Q82" s="2">
        <f t="shared" si="14"/>
        <v>129.50275281999396</v>
      </c>
      <c r="R82" s="4">
        <f t="shared" si="9"/>
        <v>6.6184723649515886E-2</v>
      </c>
      <c r="S82" s="4">
        <v>4.4999999999999998E-2</v>
      </c>
      <c r="T82" s="4">
        <f t="shared" si="10"/>
        <v>7.3105884093298545E-2</v>
      </c>
      <c r="U82">
        <f t="shared" si="18"/>
        <v>132.32039549223043</v>
      </c>
      <c r="V82" s="41">
        <v>0.53</v>
      </c>
      <c r="W82" s="42">
        <f t="shared" si="15"/>
        <v>1.0053000000000001</v>
      </c>
      <c r="X82" t="str">
        <f t="shared" si="16"/>
        <v>0.53</v>
      </c>
      <c r="Y82" t="str">
        <f t="shared" si="17"/>
        <v>0.51</v>
      </c>
      <c r="AA82">
        <v>40391</v>
      </c>
      <c r="AB82">
        <v>82.466539999999995</v>
      </c>
      <c r="AC82">
        <v>937.30899000000011</v>
      </c>
      <c r="AD82">
        <v>941.77132070412495</v>
      </c>
      <c r="AE82">
        <v>-4.7382316768666633E-3</v>
      </c>
    </row>
    <row r="83" spans="1:31" x14ac:dyDescent="0.25">
      <c r="A83" s="1">
        <v>41183</v>
      </c>
      <c r="B83" s="4">
        <v>7.3306451612903223E-2</v>
      </c>
      <c r="C83" s="16">
        <f t="shared" si="11"/>
        <v>219.59445065004755</v>
      </c>
      <c r="D83" s="4"/>
      <c r="G83" s="4">
        <v>-1.0102197139565998E-2</v>
      </c>
      <c r="I83" s="1">
        <v>40452</v>
      </c>
      <c r="J83">
        <v>44.390770000000003</v>
      </c>
      <c r="K83" s="16">
        <f t="shared" si="12"/>
        <v>487.97379999999998</v>
      </c>
      <c r="L83" s="16">
        <v>490.78352213216402</v>
      </c>
      <c r="M83" s="4">
        <f t="shared" si="13"/>
        <v>-5.7249724276753631E-3</v>
      </c>
      <c r="O83" s="1">
        <v>40817</v>
      </c>
      <c r="P83" s="2">
        <v>0.98</v>
      </c>
      <c r="Q83" s="2">
        <f t="shared" si="14"/>
        <v>130.77187979762991</v>
      </c>
      <c r="R83" s="4">
        <f t="shared" si="9"/>
        <v>6.9893007990938116E-2</v>
      </c>
      <c r="S83" s="4">
        <v>4.4999999999999998E-2</v>
      </c>
      <c r="T83" s="4">
        <f t="shared" si="10"/>
        <v>6.9697508084267668E-2</v>
      </c>
      <c r="U83">
        <f t="shared" si="18"/>
        <v>132.88937319284702</v>
      </c>
      <c r="V83" s="41">
        <v>0.43</v>
      </c>
      <c r="W83" s="42">
        <f t="shared" si="15"/>
        <v>1.0043</v>
      </c>
      <c r="X83" t="str">
        <f t="shared" si="16"/>
        <v>0.43</v>
      </c>
      <c r="Y83" t="str">
        <f t="shared" si="17"/>
        <v>0.98</v>
      </c>
      <c r="AA83">
        <v>40422</v>
      </c>
      <c r="AB83">
        <v>80.385369999999995</v>
      </c>
      <c r="AC83">
        <v>944.24624000000006</v>
      </c>
      <c r="AD83">
        <v>948.87830508416005</v>
      </c>
      <c r="AE83">
        <v>-4.8816218679898606E-3</v>
      </c>
    </row>
    <row r="84" spans="1:31" x14ac:dyDescent="0.25">
      <c r="A84" s="1">
        <v>41214</v>
      </c>
      <c r="B84" s="4">
        <v>7.2499999999999995E-2</v>
      </c>
      <c r="C84" s="16">
        <f t="shared" si="11"/>
        <v>220.92116712272494</v>
      </c>
      <c r="D84" s="4"/>
      <c r="G84" s="4">
        <v>-9.1519769807086281E-3</v>
      </c>
      <c r="I84" s="1">
        <v>40483</v>
      </c>
      <c r="J84">
        <v>45.921489999999999</v>
      </c>
      <c r="K84" s="16">
        <f t="shared" si="12"/>
        <v>496.27677999999997</v>
      </c>
      <c r="L84" s="16">
        <v>495.554000220445</v>
      </c>
      <c r="M84" s="4">
        <f t="shared" si="13"/>
        <v>1.458528796525593E-3</v>
      </c>
      <c r="O84" s="1">
        <v>40848</v>
      </c>
      <c r="P84" s="2">
        <v>0.57999999999999996</v>
      </c>
      <c r="Q84" s="2">
        <f t="shared" si="14"/>
        <v>131.53035670045617</v>
      </c>
      <c r="R84" s="4">
        <f t="shared" si="9"/>
        <v>6.9042705580454777E-2</v>
      </c>
      <c r="S84" s="4">
        <v>4.4999999999999998E-2</v>
      </c>
      <c r="T84" s="4">
        <f t="shared" si="10"/>
        <v>6.6408742563032863E-2</v>
      </c>
      <c r="U84">
        <f t="shared" si="18"/>
        <v>133.58039793344983</v>
      </c>
      <c r="V84" s="41">
        <v>0.52</v>
      </c>
      <c r="W84" s="42">
        <f t="shared" si="15"/>
        <v>1.0052000000000001</v>
      </c>
      <c r="X84" t="str">
        <f t="shared" si="16"/>
        <v>0.52</v>
      </c>
      <c r="Y84" t="str">
        <f t="shared" si="17"/>
        <v>0.58</v>
      </c>
      <c r="AA84">
        <v>40452</v>
      </c>
      <c r="AB84">
        <v>85.675020000000004</v>
      </c>
      <c r="AC84">
        <v>953.26467000000002</v>
      </c>
      <c r="AD84">
        <v>956.03565036491204</v>
      </c>
      <c r="AE84">
        <v>-2.8984069410532515E-3</v>
      </c>
    </row>
    <row r="85" spans="1:31" x14ac:dyDescent="0.25">
      <c r="A85" s="1">
        <v>41244</v>
      </c>
      <c r="B85" s="4">
        <v>7.2499999999999995E-2</v>
      </c>
      <c r="C85" s="16">
        <f t="shared" si="11"/>
        <v>222.25589917409141</v>
      </c>
      <c r="D85" s="4">
        <f>C85/C73-1</f>
        <v>8.9843479877853794E-2</v>
      </c>
      <c r="G85" s="4">
        <v>-1.0303378781139905E-2</v>
      </c>
      <c r="I85" s="1">
        <v>40513</v>
      </c>
      <c r="J85">
        <v>57.796140000000001</v>
      </c>
      <c r="K85" s="16">
        <f t="shared" si="12"/>
        <v>505.13638000000003</v>
      </c>
      <c r="L85" s="16">
        <v>500.36327299761899</v>
      </c>
      <c r="M85" s="20">
        <f t="shared" si="13"/>
        <v>9.5392832766999502E-3</v>
      </c>
      <c r="O85" s="1">
        <v>40878</v>
      </c>
      <c r="P85" s="2">
        <v>0.19</v>
      </c>
      <c r="Q85" s="2">
        <f t="shared" si="14"/>
        <v>131.78026437818704</v>
      </c>
      <c r="R85" s="4">
        <f t="shared" si="9"/>
        <v>6.5109274782276794E-2</v>
      </c>
      <c r="S85" s="4">
        <v>4.4999999999999998E-2</v>
      </c>
      <c r="T85" s="4">
        <f t="shared" si="10"/>
        <v>6.5031090406288294E-2</v>
      </c>
      <c r="U85">
        <f t="shared" si="18"/>
        <v>134.24829992311706</v>
      </c>
      <c r="V85" s="41">
        <v>0.5</v>
      </c>
      <c r="W85" s="42">
        <f t="shared" si="15"/>
        <v>1.0049999999999999</v>
      </c>
      <c r="X85" t="str">
        <f t="shared" si="16"/>
        <v>0.5</v>
      </c>
      <c r="Y85" t="str">
        <f t="shared" si="17"/>
        <v>0.19</v>
      </c>
      <c r="AA85">
        <v>40483</v>
      </c>
      <c r="AB85">
        <v>88.449920000000006</v>
      </c>
      <c r="AC85">
        <v>966.87902000000008</v>
      </c>
      <c r="AD85">
        <v>963.23354243293795</v>
      </c>
      <c r="AE85">
        <v>3.784624814719775E-3</v>
      </c>
    </row>
    <row r="86" spans="1:31" x14ac:dyDescent="0.25">
      <c r="A86" s="1">
        <v>41275</v>
      </c>
      <c r="B86" s="4">
        <v>7.2499999999999995E-2</v>
      </c>
      <c r="C86" s="16">
        <f t="shared" si="11"/>
        <v>223.59869523160157</v>
      </c>
      <c r="D86" s="4"/>
      <c r="G86" s="4">
        <v>-9.6234802720376409E-3</v>
      </c>
      <c r="I86" s="1">
        <v>40544</v>
      </c>
      <c r="J86">
        <v>40.819099999999999</v>
      </c>
      <c r="K86" s="16">
        <f t="shared" si="12"/>
        <v>510.56346000000002</v>
      </c>
      <c r="L86" s="16">
        <v>505.20620014025798</v>
      </c>
      <c r="M86" s="4">
        <f t="shared" si="13"/>
        <v>1.0604105528108589E-2</v>
      </c>
      <c r="O86" s="1">
        <v>40909</v>
      </c>
      <c r="P86" s="2">
        <v>0.31</v>
      </c>
      <c r="Q86" s="2">
        <f t="shared" si="14"/>
        <v>132.18878319775945</v>
      </c>
      <c r="R86" s="4">
        <f t="shared" si="9"/>
        <v>6.3413072095254597E-2</v>
      </c>
      <c r="S86" s="4">
        <v>4.4999999999999998E-2</v>
      </c>
      <c r="T86" s="4">
        <f t="shared" si="10"/>
        <v>6.217917734063616E-2</v>
      </c>
      <c r="U86">
        <f t="shared" si="18"/>
        <v>135.00009040268651</v>
      </c>
      <c r="V86" s="41">
        <v>0.56000000000000005</v>
      </c>
      <c r="W86" s="42">
        <f t="shared" si="15"/>
        <v>1.0056</v>
      </c>
      <c r="X86" t="str">
        <f t="shared" si="16"/>
        <v>0.56</v>
      </c>
      <c r="Y86" t="str">
        <f t="shared" si="17"/>
        <v>0.31</v>
      </c>
      <c r="AA86">
        <v>40513</v>
      </c>
      <c r="AB86">
        <v>110.90926</v>
      </c>
      <c r="AC86">
        <v>980.23322000000007</v>
      </c>
      <c r="AD86">
        <v>970.46197474560404</v>
      </c>
      <c r="AE86">
        <v>1.006865339258394E-2</v>
      </c>
    </row>
    <row r="87" spans="1:31" x14ac:dyDescent="0.25">
      <c r="A87" s="1">
        <v>41306</v>
      </c>
      <c r="B87" s="4">
        <v>7.2499999999999995E-2</v>
      </c>
      <c r="C87" s="16">
        <f t="shared" si="11"/>
        <v>224.94960401529249</v>
      </c>
      <c r="D87" s="4"/>
      <c r="G87" s="4">
        <v>-1.1722916724656187E-2</v>
      </c>
      <c r="I87" s="1">
        <v>40575</v>
      </c>
      <c r="J87">
        <v>40.401629999999997</v>
      </c>
      <c r="K87" s="16">
        <f t="shared" si="12"/>
        <v>517.52125999999998</v>
      </c>
      <c r="L87" s="16">
        <v>510.077973042086</v>
      </c>
      <c r="M87" s="4">
        <f t="shared" si="13"/>
        <v>1.4592449294609797E-2</v>
      </c>
      <c r="O87" s="1">
        <v>40940</v>
      </c>
      <c r="P87" s="2">
        <v>0.44</v>
      </c>
      <c r="Q87" s="2">
        <f t="shared" si="14"/>
        <v>132.77041384382957</v>
      </c>
      <c r="R87" s="4">
        <f t="shared" si="9"/>
        <v>5.9299900438831266E-2</v>
      </c>
      <c r="S87" s="4">
        <v>4.4999999999999998E-2</v>
      </c>
      <c r="T87" s="4">
        <f t="shared" si="10"/>
        <v>5.8491055197092301E-2</v>
      </c>
      <c r="U87">
        <f t="shared" si="18"/>
        <v>135.60759080949859</v>
      </c>
      <c r="V87" s="41">
        <v>0.45</v>
      </c>
      <c r="W87" s="42">
        <f t="shared" si="15"/>
        <v>1.0044999999999999</v>
      </c>
      <c r="X87" t="str">
        <f t="shared" si="16"/>
        <v>0.45</v>
      </c>
      <c r="Y87" t="str">
        <f t="shared" si="17"/>
        <v>0.44</v>
      </c>
      <c r="AA87">
        <v>40544</v>
      </c>
      <c r="AB87">
        <v>77.263599999999997</v>
      </c>
      <c r="AC87">
        <v>987.60404000000005</v>
      </c>
      <c r="AD87">
        <v>977.71119391843899</v>
      </c>
      <c r="AE87">
        <v>1.0118372524623387E-2</v>
      </c>
    </row>
    <row r="88" spans="1:31" x14ac:dyDescent="0.25">
      <c r="A88" s="1">
        <v>41334</v>
      </c>
      <c r="B88" s="4">
        <v>7.2499999999999995E-2</v>
      </c>
      <c r="C88" s="16">
        <f t="shared" si="11"/>
        <v>226.30867453955156</v>
      </c>
      <c r="D88" s="4"/>
      <c r="G88" s="4">
        <v>-9.9946752607845725E-3</v>
      </c>
      <c r="I88" s="1">
        <v>40603</v>
      </c>
      <c r="J88">
        <v>44.669080000000001</v>
      </c>
      <c r="K88" s="16">
        <f t="shared" si="12"/>
        <v>519.05196999999998</v>
      </c>
      <c r="L88" s="16">
        <v>514.97415488848503</v>
      </c>
      <c r="M88" s="4">
        <f t="shared" si="13"/>
        <v>7.9184849818297789E-3</v>
      </c>
      <c r="O88" s="1">
        <v>40969</v>
      </c>
      <c r="P88" s="2">
        <v>0.23</v>
      </c>
      <c r="Q88" s="2">
        <f t="shared" si="14"/>
        <v>133.07578579567038</v>
      </c>
      <c r="R88" s="4">
        <f t="shared" si="9"/>
        <v>5.3832546113985691E-2</v>
      </c>
      <c r="S88" s="4">
        <v>4.4999999999999998E-2</v>
      </c>
      <c r="T88" s="4">
        <f t="shared" si="10"/>
        <v>5.2399926989786794E-2</v>
      </c>
      <c r="U88">
        <f t="shared" si="18"/>
        <v>135.89236675019853</v>
      </c>
      <c r="V88" s="41">
        <v>0.21</v>
      </c>
      <c r="W88" s="42">
        <f t="shared" si="15"/>
        <v>1.0021</v>
      </c>
      <c r="X88" t="str">
        <f t="shared" si="16"/>
        <v>0.21</v>
      </c>
      <c r="Y88" t="str">
        <f t="shared" si="17"/>
        <v>0.23</v>
      </c>
      <c r="AA88">
        <v>40575</v>
      </c>
      <c r="AB88">
        <v>76.656589999999994</v>
      </c>
      <c r="AC88">
        <v>998.70362999999998</v>
      </c>
      <c r="AD88">
        <v>984.97212512567296</v>
      </c>
      <c r="AE88">
        <v>1.3941008607299427E-2</v>
      </c>
    </row>
    <row r="89" spans="1:31" x14ac:dyDescent="0.25">
      <c r="A89" s="1">
        <v>41365</v>
      </c>
      <c r="B89" s="4">
        <v>7.3583333333333334E-2</v>
      </c>
      <c r="C89" s="16">
        <f t="shared" si="11"/>
        <v>227.69638675912398</v>
      </c>
      <c r="D89" s="4"/>
      <c r="G89" s="4">
        <v>-5.3059324056718695E-3</v>
      </c>
      <c r="I89" s="1">
        <v>40634</v>
      </c>
      <c r="J89">
        <v>44.298000000000002</v>
      </c>
      <c r="K89" s="16">
        <f t="shared" si="12"/>
        <v>524.47904999999992</v>
      </c>
      <c r="L89" s="16">
        <v>519.89082567226205</v>
      </c>
      <c r="M89" s="4">
        <f t="shared" si="13"/>
        <v>8.8253612127217416E-3</v>
      </c>
      <c r="O89" s="1">
        <v>41000</v>
      </c>
      <c r="P89" s="2">
        <v>0.78</v>
      </c>
      <c r="Q89" s="2">
        <f t="shared" si="14"/>
        <v>134.11377692487662</v>
      </c>
      <c r="R89" s="4">
        <f t="shared" si="9"/>
        <v>5.1120783821926752E-2</v>
      </c>
      <c r="S89" s="4">
        <v>4.4999999999999998E-2</v>
      </c>
      <c r="T89" s="4">
        <f t="shared" si="10"/>
        <v>5.1042261111959197E-2</v>
      </c>
      <c r="U89">
        <f t="shared" si="18"/>
        <v>136.76207789739979</v>
      </c>
      <c r="V89" s="41">
        <v>0.64</v>
      </c>
      <c r="W89" s="42">
        <f t="shared" si="15"/>
        <v>1.0064</v>
      </c>
      <c r="X89" t="str">
        <f t="shared" si="16"/>
        <v>0.64</v>
      </c>
      <c r="Y89" t="str">
        <f t="shared" si="17"/>
        <v>0.78</v>
      </c>
      <c r="AA89" t="s">
        <v>40</v>
      </c>
      <c r="AB89">
        <v>84.287570000000002</v>
      </c>
      <c r="AC89">
        <v>997.92318999999998</v>
      </c>
      <c r="AD89">
        <v>992.23638054473304</v>
      </c>
      <c r="AE89">
        <v>5.7313051272569826E-3</v>
      </c>
    </row>
    <row r="90" spans="1:31" x14ac:dyDescent="0.25">
      <c r="A90" s="1">
        <v>41395</v>
      </c>
      <c r="B90" s="4">
        <v>7.5322580645161286E-2</v>
      </c>
      <c r="C90" s="16">
        <f t="shared" si="11"/>
        <v>229.12561004698031</v>
      </c>
      <c r="D90" s="4"/>
      <c r="G90" s="4">
        <v>-5.2311206915872906E-3</v>
      </c>
      <c r="I90" s="1">
        <v>40664</v>
      </c>
      <c r="J90">
        <v>46.246189999999999</v>
      </c>
      <c r="K90" s="16">
        <f t="shared" si="12"/>
        <v>530.04529000000002</v>
      </c>
      <c r="L90" s="16">
        <v>524.82434843102806</v>
      </c>
      <c r="M90" s="4">
        <f t="shared" si="13"/>
        <v>9.9479789468230016E-3</v>
      </c>
      <c r="O90" s="1">
        <v>41030</v>
      </c>
      <c r="P90" s="2">
        <v>0.43</v>
      </c>
      <c r="Q90" s="2">
        <f t="shared" si="14"/>
        <v>134.69046616565359</v>
      </c>
      <c r="R90" s="4">
        <f t="shared" ref="R90:R153" si="19">Q90/Q78-1</f>
        <v>5.038865989289687E-2</v>
      </c>
      <c r="S90" s="4">
        <v>4.4999999999999998E-2</v>
      </c>
      <c r="T90" s="4">
        <f t="shared" ref="T90:T153" si="20">U90/U78-1</f>
        <v>4.9891523093423373E-2</v>
      </c>
      <c r="U90">
        <f t="shared" si="18"/>
        <v>137.25442137783043</v>
      </c>
      <c r="V90" s="41">
        <v>0.36</v>
      </c>
      <c r="W90" s="42">
        <f t="shared" si="15"/>
        <v>1.0036</v>
      </c>
      <c r="X90" t="str">
        <f t="shared" si="16"/>
        <v>0.36</v>
      </c>
      <c r="Y90" t="str">
        <f t="shared" si="17"/>
        <v>0.43</v>
      </c>
      <c r="AA90">
        <v>40634</v>
      </c>
      <c r="AB90">
        <v>81.859530000000007</v>
      </c>
      <c r="AC90">
        <v>1004.8604399999999</v>
      </c>
      <c r="AD90">
        <v>999.496525929776</v>
      </c>
      <c r="AE90">
        <v>5.366616022235972E-3</v>
      </c>
    </row>
    <row r="91" spans="1:31" x14ac:dyDescent="0.25">
      <c r="A91" s="1">
        <v>41426</v>
      </c>
      <c r="B91" s="4">
        <v>0.08</v>
      </c>
      <c r="C91" s="16">
        <f t="shared" si="11"/>
        <v>230.65311411396016</v>
      </c>
      <c r="D91" s="4"/>
      <c r="G91" s="4">
        <v>-6.8565115397174877E-3</v>
      </c>
      <c r="I91" s="1">
        <v>40695</v>
      </c>
      <c r="J91">
        <v>45.596789999999999</v>
      </c>
      <c r="K91" s="16">
        <f t="shared" si="12"/>
        <v>535.33321999999998</v>
      </c>
      <c r="L91" s="16">
        <v>529.77140489504995</v>
      </c>
      <c r="M91" s="4">
        <f t="shared" si="13"/>
        <v>1.0498518896186646E-2</v>
      </c>
      <c r="O91" s="1">
        <v>41061</v>
      </c>
      <c r="P91" s="2">
        <v>0.06</v>
      </c>
      <c r="Q91" s="2">
        <f t="shared" si="14"/>
        <v>134.77128044535297</v>
      </c>
      <c r="R91" s="4">
        <f t="shared" si="19"/>
        <v>4.9549523755574532E-2</v>
      </c>
      <c r="S91" s="4">
        <v>4.4999999999999998E-2</v>
      </c>
      <c r="T91" s="4">
        <f t="shared" si="20"/>
        <v>4.9157699762254703E-2</v>
      </c>
      <c r="U91">
        <f t="shared" si="18"/>
        <v>137.36422491493269</v>
      </c>
      <c r="V91" s="41">
        <v>0.08</v>
      </c>
      <c r="W91" s="42">
        <f t="shared" si="15"/>
        <v>1.0007999999999999</v>
      </c>
      <c r="X91" t="str">
        <f t="shared" si="16"/>
        <v>0.08</v>
      </c>
      <c r="Y91" t="str">
        <f t="shared" si="17"/>
        <v>0.06</v>
      </c>
      <c r="AA91">
        <v>40664</v>
      </c>
      <c r="AB91">
        <v>86.455460000000002</v>
      </c>
      <c r="AC91">
        <v>1013.0984199999999</v>
      </c>
      <c r="AD91">
        <v>1006.74552195228</v>
      </c>
      <c r="AE91">
        <v>6.3103315676044771E-3</v>
      </c>
    </row>
    <row r="92" spans="1:31" x14ac:dyDescent="0.25">
      <c r="A92" s="1">
        <v>41456</v>
      </c>
      <c r="B92" s="4">
        <v>8.3387096774193536E-2</v>
      </c>
      <c r="C92" s="16">
        <f t="shared" si="11"/>
        <v>232.25590524295094</v>
      </c>
      <c r="D92" s="4"/>
      <c r="G92" s="4">
        <v>-1.1256323520289675E-3</v>
      </c>
      <c r="I92" s="1">
        <v>40725</v>
      </c>
      <c r="J92">
        <v>45.318480000000001</v>
      </c>
      <c r="K92" s="16">
        <f t="shared" si="12"/>
        <v>539.13682000000006</v>
      </c>
      <c r="L92" s="16">
        <v>534.72903968706999</v>
      </c>
      <c r="M92" s="4">
        <f t="shared" si="13"/>
        <v>8.2430165294736183E-3</v>
      </c>
      <c r="O92" s="1">
        <v>41091</v>
      </c>
      <c r="P92" s="2">
        <v>0.6</v>
      </c>
      <c r="Q92" s="2">
        <f t="shared" si="14"/>
        <v>135.5799081280251</v>
      </c>
      <c r="R92" s="4">
        <f t="shared" si="19"/>
        <v>5.3739342213680708E-2</v>
      </c>
      <c r="S92" s="4">
        <v>4.4999999999999998E-2</v>
      </c>
      <c r="T92" s="4">
        <f t="shared" si="20"/>
        <v>5.1985900430543408E-2</v>
      </c>
      <c r="U92">
        <f t="shared" si="18"/>
        <v>137.95489108206689</v>
      </c>
      <c r="V92" s="41">
        <v>0.43</v>
      </c>
      <c r="W92" s="42">
        <f t="shared" si="15"/>
        <v>1.0043</v>
      </c>
      <c r="X92" t="str">
        <f t="shared" si="16"/>
        <v>0.43</v>
      </c>
      <c r="Y92" t="str">
        <f t="shared" si="17"/>
        <v>0.6</v>
      </c>
      <c r="AA92">
        <v>40695</v>
      </c>
      <c r="AB92">
        <v>85.414869999999993</v>
      </c>
      <c r="AC92">
        <v>1020.3825299999999</v>
      </c>
      <c r="AD92">
        <v>1013.97670177775</v>
      </c>
      <c r="AE92">
        <v>6.3175299896130388E-3</v>
      </c>
    </row>
    <row r="93" spans="1:31" x14ac:dyDescent="0.25">
      <c r="A93" s="1">
        <v>41487</v>
      </c>
      <c r="B93" s="4">
        <v>8.5483870967741946E-2</v>
      </c>
      <c r="C93" s="16">
        <f t="shared" si="11"/>
        <v>233.9104163958913</v>
      </c>
      <c r="D93" s="4"/>
      <c r="G93" s="4">
        <v>-2.2268826813855586E-3</v>
      </c>
      <c r="I93" s="1">
        <v>40756</v>
      </c>
      <c r="J93">
        <v>46.570880000000002</v>
      </c>
      <c r="K93" s="16">
        <f t="shared" si="12"/>
        <v>543.31150000000002</v>
      </c>
      <c r="L93" s="16">
        <v>539.69468344337599</v>
      </c>
      <c r="M93" s="4">
        <f t="shared" si="13"/>
        <v>6.7015975283430821E-3</v>
      </c>
      <c r="O93" s="1">
        <v>41122</v>
      </c>
      <c r="P93" s="2">
        <v>0.48</v>
      </c>
      <c r="Q93" s="2">
        <f t="shared" si="14"/>
        <v>136.23069168703961</v>
      </c>
      <c r="R93" s="4">
        <f t="shared" si="19"/>
        <v>5.731704719024E-2</v>
      </c>
      <c r="S93" s="4">
        <v>4.4999999999999998E-2</v>
      </c>
      <c r="T93" s="4">
        <f t="shared" si="20"/>
        <v>5.2405143591021552E-2</v>
      </c>
      <c r="U93">
        <f t="shared" si="18"/>
        <v>138.52050613550335</v>
      </c>
      <c r="V93" s="43">
        <v>0.41</v>
      </c>
      <c r="W93" s="42">
        <f t="shared" si="15"/>
        <v>1.0041</v>
      </c>
      <c r="X93" t="str">
        <f t="shared" si="16"/>
        <v>0.41</v>
      </c>
      <c r="Y93" t="str">
        <f t="shared" si="17"/>
        <v>0.48</v>
      </c>
      <c r="AA93">
        <v>40725</v>
      </c>
      <c r="AB93">
        <v>85.068010000000001</v>
      </c>
      <c r="AC93">
        <v>1024.8917399999998</v>
      </c>
      <c r="AD93">
        <v>1021.18383974519</v>
      </c>
      <c r="AE93">
        <v>3.6309821116392122E-3</v>
      </c>
    </row>
    <row r="94" spans="1:31" x14ac:dyDescent="0.25">
      <c r="A94" s="1">
        <v>41518</v>
      </c>
      <c r="B94" s="4">
        <v>0.09</v>
      </c>
      <c r="C94" s="16">
        <f t="shared" si="11"/>
        <v>235.66474451886052</v>
      </c>
      <c r="D94" s="4"/>
      <c r="G94" s="4">
        <v>5.5224588455601359E-3</v>
      </c>
      <c r="I94" s="1">
        <v>40787</v>
      </c>
      <c r="J94">
        <v>44.85463</v>
      </c>
      <c r="K94" s="16">
        <f t="shared" si="12"/>
        <v>546.88318000000004</v>
      </c>
      <c r="L94" s="16">
        <v>544.66607311694497</v>
      </c>
      <c r="M94" s="4">
        <f t="shared" si="13"/>
        <v>4.0705801085925775E-3</v>
      </c>
      <c r="O94" s="1">
        <v>41153</v>
      </c>
      <c r="P94" s="2">
        <v>0.57999999999999996</v>
      </c>
      <c r="Q94" s="2">
        <f t="shared" si="14"/>
        <v>137.02082969882446</v>
      </c>
      <c r="R94" s="4">
        <f t="shared" si="19"/>
        <v>5.8053413654306274E-2</v>
      </c>
      <c r="S94" s="4">
        <v>4.4999999999999998E-2</v>
      </c>
      <c r="T94" s="4">
        <f t="shared" si="20"/>
        <v>5.2823886312036494E-2</v>
      </c>
      <c r="U94">
        <f t="shared" si="18"/>
        <v>139.31007302047573</v>
      </c>
      <c r="V94" s="43">
        <v>0.56999999999999995</v>
      </c>
      <c r="W94" s="42">
        <f t="shared" si="15"/>
        <v>1.0057</v>
      </c>
      <c r="X94" t="str">
        <f t="shared" si="16"/>
        <v>0.57</v>
      </c>
      <c r="Y94" t="str">
        <f t="shared" si="17"/>
        <v>0.58</v>
      </c>
      <c r="AA94">
        <v>40756</v>
      </c>
      <c r="AB94">
        <v>87.582759999999993</v>
      </c>
      <c r="AC94">
        <v>1030.0079599999999</v>
      </c>
      <c r="AD94">
        <v>1028.3611550427599</v>
      </c>
      <c r="AE94">
        <v>1.6013877509516486E-3</v>
      </c>
    </row>
    <row r="95" spans="1:31" x14ac:dyDescent="0.25">
      <c r="A95" s="1">
        <v>41548</v>
      </c>
      <c r="B95" s="4">
        <v>9.3548387096774197E-2</v>
      </c>
      <c r="C95" s="16">
        <f t="shared" si="11"/>
        <v>237.50191591430325</v>
      </c>
      <c r="D95" s="4"/>
      <c r="G95" s="4">
        <v>9.1330475846575637E-3</v>
      </c>
      <c r="I95" s="1">
        <v>40817</v>
      </c>
      <c r="J95">
        <v>46.941969999999998</v>
      </c>
      <c r="K95" s="16">
        <f t="shared" si="12"/>
        <v>549.43438000000003</v>
      </c>
      <c r="L95" s="16">
        <v>549.64119672440495</v>
      </c>
      <c r="M95" s="4">
        <f t="shared" si="13"/>
        <v>-3.7627587895056589E-4</v>
      </c>
      <c r="O95" s="1">
        <v>41183</v>
      </c>
      <c r="P95" s="2">
        <v>0.5</v>
      </c>
      <c r="Q95" s="2">
        <f t="shared" si="14"/>
        <v>137.70593384731856</v>
      </c>
      <c r="R95" s="4">
        <f t="shared" si="19"/>
        <v>5.3024045080785953E-2</v>
      </c>
      <c r="S95" s="4">
        <v>4.4999999999999998E-2</v>
      </c>
      <c r="T95" s="4">
        <f t="shared" si="20"/>
        <v>5.450119211518234E-2</v>
      </c>
      <c r="U95">
        <f t="shared" si="18"/>
        <v>140.13200245129653</v>
      </c>
      <c r="V95" s="43">
        <v>0.59</v>
      </c>
      <c r="W95" s="42">
        <f t="shared" si="15"/>
        <v>1.0059</v>
      </c>
      <c r="X95" t="str">
        <f t="shared" si="16"/>
        <v>0.59</v>
      </c>
      <c r="Y95" t="str">
        <f t="shared" si="17"/>
        <v>0.5</v>
      </c>
      <c r="AA95">
        <v>40787</v>
      </c>
      <c r="AB95">
        <v>83.68056</v>
      </c>
      <c r="AC95">
        <v>1033.30315</v>
      </c>
      <c r="AD95">
        <v>1035.5031243517001</v>
      </c>
      <c r="AE95">
        <v>-2.1245463195270066E-3</v>
      </c>
    </row>
    <row r="96" spans="1:31" x14ac:dyDescent="0.25">
      <c r="A96" s="1">
        <v>41579</v>
      </c>
      <c r="B96" s="4">
        <v>9.5500000000000002E-2</v>
      </c>
      <c r="C96" s="16">
        <f t="shared" si="11"/>
        <v>239.39203532845457</v>
      </c>
      <c r="D96" s="4"/>
      <c r="G96" s="4">
        <v>1.610109482329794E-2</v>
      </c>
      <c r="I96" s="1">
        <v>40848</v>
      </c>
      <c r="J96">
        <v>48.426299999999998</v>
      </c>
      <c r="K96" s="16">
        <f t="shared" si="12"/>
        <v>551.93918999999994</v>
      </c>
      <c r="L96" s="16">
        <v>554.61819602730498</v>
      </c>
      <c r="M96" s="4">
        <f t="shared" si="13"/>
        <v>-4.8303608617506358E-3</v>
      </c>
      <c r="O96" s="1">
        <v>41214</v>
      </c>
      <c r="P96" s="2">
        <v>0.41</v>
      </c>
      <c r="Q96" s="2">
        <f t="shared" si="14"/>
        <v>138.27052817609257</v>
      </c>
      <c r="R96" s="4">
        <f t="shared" si="19"/>
        <v>5.1244227148157906E-2</v>
      </c>
      <c r="S96" s="4">
        <v>4.4999999999999998E-2</v>
      </c>
      <c r="T96" s="4">
        <f t="shared" si="20"/>
        <v>5.5340429036881522E-2</v>
      </c>
      <c r="U96">
        <f t="shared" si="18"/>
        <v>140.9727944660043</v>
      </c>
      <c r="V96" s="43">
        <v>0.6</v>
      </c>
      <c r="W96" s="42">
        <f t="shared" si="15"/>
        <v>1.006</v>
      </c>
      <c r="X96" t="str">
        <f t="shared" si="16"/>
        <v>0.6</v>
      </c>
      <c r="Y96" t="str">
        <f t="shared" si="17"/>
        <v>0.41</v>
      </c>
      <c r="AA96">
        <v>40817</v>
      </c>
      <c r="AB96">
        <v>86.802319999999995</v>
      </c>
      <c r="AC96">
        <v>1034.4304500000001</v>
      </c>
      <c r="AD96">
        <v>1042.6043387146999</v>
      </c>
      <c r="AE96">
        <v>-7.8398759828454539E-3</v>
      </c>
    </row>
    <row r="97" spans="1:31" x14ac:dyDescent="0.25">
      <c r="A97" s="1">
        <v>41609</v>
      </c>
      <c r="B97" s="4">
        <v>0.1</v>
      </c>
      <c r="C97" s="16">
        <f t="shared" si="11"/>
        <v>241.38696895619168</v>
      </c>
      <c r="D97" s="4">
        <f>C97/C85-1</f>
        <v>8.6076769404959785E-2</v>
      </c>
      <c r="G97" s="4">
        <v>2.4238972501225666E-2</v>
      </c>
      <c r="I97" s="1">
        <v>40878</v>
      </c>
      <c r="J97">
        <v>62.527439999999999</v>
      </c>
      <c r="K97" s="16">
        <f t="shared" si="12"/>
        <v>556.67048999999997</v>
      </c>
      <c r="L97" s="16">
        <v>559.59519812075496</v>
      </c>
      <c r="M97" s="20">
        <f t="shared" si="13"/>
        <v>-5.2264710822694785E-3</v>
      </c>
      <c r="O97" s="1">
        <v>41244</v>
      </c>
      <c r="P97" s="2">
        <v>0.62</v>
      </c>
      <c r="Q97" s="2">
        <f t="shared" si="14"/>
        <v>139.12780545078434</v>
      </c>
      <c r="R97" s="4">
        <f t="shared" si="19"/>
        <v>5.5756004947076887E-2</v>
      </c>
      <c r="S97" s="4">
        <v>4.4999999999999998E-2</v>
      </c>
      <c r="T97" s="4">
        <f t="shared" si="20"/>
        <v>5.8385689976391042E-2</v>
      </c>
      <c r="U97">
        <f t="shared" si="18"/>
        <v>142.08647954228573</v>
      </c>
      <c r="V97" s="43">
        <v>0.79</v>
      </c>
      <c r="W97" s="42">
        <f t="shared" si="15"/>
        <v>1.0079</v>
      </c>
      <c r="X97" t="str">
        <f t="shared" si="16"/>
        <v>0.79</v>
      </c>
      <c r="Y97" t="str">
        <f t="shared" si="17"/>
        <v>0.62</v>
      </c>
      <c r="AA97">
        <v>40848</v>
      </c>
      <c r="AB97">
        <v>89.490499999999997</v>
      </c>
      <c r="AC97">
        <v>1035.4710299999999</v>
      </c>
      <c r="AD97">
        <v>1049.6592363984801</v>
      </c>
      <c r="AE97">
        <v>-1.3516964274197929E-2</v>
      </c>
    </row>
    <row r="98" spans="1:31" x14ac:dyDescent="0.25">
      <c r="A98" s="1">
        <v>41640</v>
      </c>
      <c r="B98" s="4">
        <v>0.10258064516129033</v>
      </c>
      <c r="C98" s="16">
        <f t="shared" si="11"/>
        <v>243.45043820694622</v>
      </c>
      <c r="D98" s="4"/>
      <c r="G98" s="4">
        <v>3.2027307631102397E-2</v>
      </c>
      <c r="I98" s="1">
        <v>40909</v>
      </c>
      <c r="J98">
        <v>45.596789999999999</v>
      </c>
      <c r="K98" s="16">
        <f t="shared" si="12"/>
        <v>561.44817999999987</v>
      </c>
      <c r="L98" s="16">
        <v>564.57014411403202</v>
      </c>
      <c r="M98" s="4">
        <f t="shared" si="13"/>
        <v>-5.5298073172668121E-3</v>
      </c>
      <c r="O98" s="1">
        <v>41275</v>
      </c>
      <c r="P98" s="2">
        <v>0.87</v>
      </c>
      <c r="Q98" s="2">
        <f t="shared" si="14"/>
        <v>140.33821735820615</v>
      </c>
      <c r="R98" s="4">
        <f t="shared" si="19"/>
        <v>6.1649967291512509E-2</v>
      </c>
      <c r="S98" s="4">
        <v>4.4999999999999998E-2</v>
      </c>
      <c r="T98" s="4">
        <f t="shared" si="20"/>
        <v>6.1543165185151016E-2</v>
      </c>
      <c r="U98">
        <f t="shared" si="18"/>
        <v>143.30842326634937</v>
      </c>
      <c r="V98" s="43">
        <v>0.86</v>
      </c>
      <c r="W98" s="42">
        <f t="shared" si="15"/>
        <v>1.0085999999999999</v>
      </c>
      <c r="X98" t="str">
        <f t="shared" si="16"/>
        <v>0.86</v>
      </c>
      <c r="Y98" t="str">
        <f t="shared" si="17"/>
        <v>0.87</v>
      </c>
      <c r="AA98">
        <v>40878</v>
      </c>
      <c r="AB98">
        <v>116.11219</v>
      </c>
      <c r="AC98">
        <v>1040.6739600000001</v>
      </c>
      <c r="AD98">
        <v>1056.66168803856</v>
      </c>
      <c r="AE98">
        <v>-1.5130413281319309E-2</v>
      </c>
    </row>
    <row r="99" spans="1:31" x14ac:dyDescent="0.25">
      <c r="A99" s="1">
        <v>41671</v>
      </c>
      <c r="B99" s="4">
        <v>0.10517857142857143</v>
      </c>
      <c r="C99" s="16">
        <f t="shared" si="11"/>
        <v>245.5842523156351</v>
      </c>
      <c r="D99" s="4"/>
      <c r="G99" s="4">
        <v>3.9834958261706889E-2</v>
      </c>
      <c r="I99" s="1">
        <v>40940</v>
      </c>
      <c r="J99">
        <v>41.885959999999997</v>
      </c>
      <c r="K99" s="16">
        <f t="shared" si="12"/>
        <v>562.93250999999998</v>
      </c>
      <c r="L99" s="16">
        <v>569.54077197765196</v>
      </c>
      <c r="M99" s="4">
        <f t="shared" si="13"/>
        <v>-1.16027900069484E-2</v>
      </c>
      <c r="O99" s="1">
        <v>41306</v>
      </c>
      <c r="P99" s="2">
        <v>0.35</v>
      </c>
      <c r="Q99" s="2">
        <f t="shared" si="14"/>
        <v>140.82940111895988</v>
      </c>
      <c r="R99" s="4">
        <f t="shared" si="19"/>
        <v>6.0698668037667103E-2</v>
      </c>
      <c r="S99" s="4">
        <v>4.4999999999999998E-2</v>
      </c>
      <c r="T99" s="4">
        <f t="shared" si="20"/>
        <v>6.3128346616487807E-2</v>
      </c>
      <c r="U99">
        <f t="shared" si="18"/>
        <v>144.16827380594745</v>
      </c>
      <c r="V99" s="43">
        <v>0.6</v>
      </c>
      <c r="W99" s="42">
        <f t="shared" si="15"/>
        <v>1.006</v>
      </c>
      <c r="X99" t="str">
        <f t="shared" si="16"/>
        <v>0.6</v>
      </c>
      <c r="Y99" t="str">
        <f t="shared" si="17"/>
        <v>0.35</v>
      </c>
      <c r="AA99">
        <v>40909</v>
      </c>
      <c r="AB99">
        <v>84.721149999999994</v>
      </c>
      <c r="AC99">
        <v>1048.1315100000002</v>
      </c>
      <c r="AD99">
        <v>1063.60457897838</v>
      </c>
      <c r="AE99">
        <v>-1.4547764539752293E-2</v>
      </c>
    </row>
    <row r="100" spans="1:31" x14ac:dyDescent="0.25">
      <c r="A100" s="1">
        <v>41699</v>
      </c>
      <c r="B100" s="4">
        <v>0.1075</v>
      </c>
      <c r="C100" s="16">
        <f t="shared" si="11"/>
        <v>247.78427790929601</v>
      </c>
      <c r="D100" s="4"/>
      <c r="G100" s="4">
        <v>3.6830811890747113E-2</v>
      </c>
      <c r="I100" s="1">
        <v>40969</v>
      </c>
      <c r="J100">
        <v>49.910629999999998</v>
      </c>
      <c r="K100" s="16">
        <f t="shared" si="12"/>
        <v>568.17405999999994</v>
      </c>
      <c r="L100" s="16">
        <v>574.50460300545797</v>
      </c>
      <c r="M100" s="4">
        <f t="shared" si="13"/>
        <v>-1.1019133654178719E-2</v>
      </c>
      <c r="O100" s="1">
        <v>41334</v>
      </c>
      <c r="P100" s="2">
        <v>0.46</v>
      </c>
      <c r="Q100" s="2">
        <f t="shared" si="14"/>
        <v>141.47721636410708</v>
      </c>
      <c r="R100" s="4">
        <f t="shared" si="19"/>
        <v>6.3132676754105832E-2</v>
      </c>
      <c r="S100" s="4">
        <v>4.4999999999999998E-2</v>
      </c>
      <c r="T100" s="4">
        <f t="shared" si="20"/>
        <v>6.5886687801202548E-2</v>
      </c>
      <c r="U100">
        <f t="shared" si="18"/>
        <v>144.84586469283539</v>
      </c>
      <c r="V100" s="43">
        <v>0.47</v>
      </c>
      <c r="W100" s="42">
        <f t="shared" si="15"/>
        <v>1.0046999999999999</v>
      </c>
      <c r="X100" t="str">
        <f t="shared" si="16"/>
        <v>0.47</v>
      </c>
      <c r="Y100" t="str">
        <f t="shared" si="17"/>
        <v>0.46</v>
      </c>
      <c r="AA100">
        <v>40940</v>
      </c>
      <c r="AB100">
        <v>77.870609999999999</v>
      </c>
      <c r="AC100">
        <v>1049.3455300000001</v>
      </c>
      <c r="AD100">
        <v>1070.4796843024701</v>
      </c>
      <c r="AE100">
        <v>-1.9742695365808059E-2</v>
      </c>
    </row>
    <row r="101" spans="1:31" x14ac:dyDescent="0.25">
      <c r="A101" s="1">
        <v>41730</v>
      </c>
      <c r="B101" s="4">
        <v>0.10983333333333332</v>
      </c>
      <c r="C101" s="16">
        <f t="shared" si="11"/>
        <v>250.05219234182692</v>
      </c>
      <c r="D101" s="4"/>
      <c r="G101" s="4">
        <v>4.0182546647985713E-2</v>
      </c>
      <c r="I101" s="1">
        <v>41000</v>
      </c>
      <c r="J101">
        <v>46.246189999999999</v>
      </c>
      <c r="K101" s="16">
        <f t="shared" si="12"/>
        <v>570.12225000000001</v>
      </c>
      <c r="L101" s="16">
        <v>579.45869940990497</v>
      </c>
      <c r="M101" s="4">
        <f t="shared" si="13"/>
        <v>-1.611236386547097E-2</v>
      </c>
      <c r="O101" s="1">
        <v>41365</v>
      </c>
      <c r="P101" s="2">
        <v>0.32</v>
      </c>
      <c r="Q101" s="2">
        <f t="shared" si="14"/>
        <v>141.92994345647224</v>
      </c>
      <c r="R101" s="4">
        <f t="shared" si="19"/>
        <v>5.8280116411707938E-2</v>
      </c>
      <c r="S101" s="4">
        <v>4.4999999999999998E-2</v>
      </c>
      <c r="T101" s="4">
        <f t="shared" si="20"/>
        <v>6.4933490246531722E-2</v>
      </c>
      <c r="U101">
        <f t="shared" si="18"/>
        <v>145.642516948646</v>
      </c>
      <c r="V101" s="43">
        <v>0.55000000000000004</v>
      </c>
      <c r="W101" s="42">
        <f t="shared" si="15"/>
        <v>1.0055000000000001</v>
      </c>
      <c r="X101" t="str">
        <f t="shared" si="16"/>
        <v>0.55</v>
      </c>
      <c r="Y101" t="str">
        <f t="shared" si="17"/>
        <v>0.32</v>
      </c>
      <c r="AA101" t="s">
        <v>41</v>
      </c>
      <c r="AB101">
        <v>92.698980000000006</v>
      </c>
      <c r="AC101">
        <v>1057.7569400000002</v>
      </c>
      <c r="AD101">
        <v>1077.2777045767</v>
      </c>
      <c r="AE101">
        <v>-1.8120457235648597E-2</v>
      </c>
    </row>
    <row r="102" spans="1:31" x14ac:dyDescent="0.25">
      <c r="A102" s="1">
        <v>41760</v>
      </c>
      <c r="B102" s="4">
        <v>0.11</v>
      </c>
      <c r="C102" s="16">
        <f t="shared" si="11"/>
        <v>252.34433743829371</v>
      </c>
      <c r="D102" s="4"/>
      <c r="G102" s="4">
        <v>4.5601215076362736E-2</v>
      </c>
      <c r="I102" s="1">
        <v>41030</v>
      </c>
      <c r="J102">
        <v>49.725090000000002</v>
      </c>
      <c r="K102" s="16">
        <f t="shared" si="12"/>
        <v>573.60114999999996</v>
      </c>
      <c r="L102" s="16">
        <v>584.39968350046399</v>
      </c>
      <c r="M102" s="4">
        <f t="shared" si="13"/>
        <v>-1.8477993409891123E-2</v>
      </c>
      <c r="O102" s="1">
        <v>41395</v>
      </c>
      <c r="P102" s="2">
        <v>0.5</v>
      </c>
      <c r="Q102" s="2">
        <f t="shared" si="14"/>
        <v>142.63959317375458</v>
      </c>
      <c r="R102" s="4">
        <f t="shared" si="19"/>
        <v>5.901774070871868E-2</v>
      </c>
      <c r="S102" s="4">
        <v>4.4999999999999998E-2</v>
      </c>
      <c r="T102" s="4">
        <f t="shared" si="20"/>
        <v>6.5039601594703012E-2</v>
      </c>
      <c r="U102">
        <f t="shared" si="18"/>
        <v>146.18139426135599</v>
      </c>
      <c r="V102" s="43">
        <v>0.37</v>
      </c>
      <c r="W102" s="42">
        <f t="shared" si="15"/>
        <v>1.0037</v>
      </c>
      <c r="X102" t="str">
        <f t="shared" si="16"/>
        <v>0.37</v>
      </c>
      <c r="Y102" t="str">
        <f t="shared" si="17"/>
        <v>0.5</v>
      </c>
      <c r="AA102">
        <v>41000</v>
      </c>
      <c r="AB102">
        <v>85.588300000000004</v>
      </c>
      <c r="AC102">
        <v>1061.4857099999999</v>
      </c>
      <c r="AD102">
        <v>1083.98787271731</v>
      </c>
      <c r="AE102">
        <v>-2.0758684929659106E-2</v>
      </c>
    </row>
    <row r="103" spans="1:31" x14ac:dyDescent="0.25">
      <c r="A103" s="1">
        <v>41791</v>
      </c>
      <c r="B103" s="4">
        <v>0.11</v>
      </c>
      <c r="C103" s="16">
        <f t="shared" si="11"/>
        <v>254.65749386481141</v>
      </c>
      <c r="D103" s="4"/>
      <c r="G103" s="4">
        <v>4.1246899054817751E-2</v>
      </c>
      <c r="I103" s="1">
        <v>41061</v>
      </c>
      <c r="J103">
        <v>51.255800000000001</v>
      </c>
      <c r="K103" s="16">
        <f t="shared" si="12"/>
        <v>579.26016000000004</v>
      </c>
      <c r="L103" s="16">
        <v>589.323529065809</v>
      </c>
      <c r="M103" s="4">
        <f t="shared" si="13"/>
        <v>-1.7076136569264985E-2</v>
      </c>
      <c r="O103" s="1">
        <v>41426</v>
      </c>
      <c r="P103" s="2">
        <v>0.17</v>
      </c>
      <c r="Q103" s="2">
        <f t="shared" si="14"/>
        <v>142.88208048214997</v>
      </c>
      <c r="R103" s="4">
        <f t="shared" si="19"/>
        <v>6.0181961690909169E-2</v>
      </c>
      <c r="S103" s="4">
        <v>4.4999999999999998E-2</v>
      </c>
      <c r="T103" s="4">
        <f t="shared" si="20"/>
        <v>6.6955140446491868E-2</v>
      </c>
      <c r="U103">
        <f t="shared" si="18"/>
        <v>146.56146588643551</v>
      </c>
      <c r="V103" s="43">
        <v>0.26</v>
      </c>
      <c r="W103" s="42">
        <f t="shared" si="15"/>
        <v>1.0025999999999999</v>
      </c>
      <c r="X103" t="str">
        <f t="shared" si="16"/>
        <v>0.26</v>
      </c>
      <c r="Y103" t="str">
        <f t="shared" si="17"/>
        <v>0.17</v>
      </c>
      <c r="AA103">
        <v>41030</v>
      </c>
      <c r="AB103">
        <v>92.005260000000007</v>
      </c>
      <c r="AC103">
        <v>1067.0355099999999</v>
      </c>
      <c r="AD103">
        <v>1090.5980660319201</v>
      </c>
      <c r="AE103">
        <v>-2.1605169462340243E-2</v>
      </c>
    </row>
    <row r="104" spans="1:31" x14ac:dyDescent="0.25">
      <c r="A104" s="1">
        <v>41821</v>
      </c>
      <c r="B104" s="4">
        <v>0.11</v>
      </c>
      <c r="C104" s="16">
        <f t="shared" si="11"/>
        <v>256.99185422523885</v>
      </c>
      <c r="D104" s="4"/>
      <c r="G104" s="4">
        <v>3.9539880514939292E-2</v>
      </c>
      <c r="I104" s="1">
        <v>41091</v>
      </c>
      <c r="J104">
        <v>49.771470000000001</v>
      </c>
      <c r="K104" s="16">
        <f t="shared" si="12"/>
        <v>583.71315000000004</v>
      </c>
      <c r="L104" s="16">
        <v>594.22545991659797</v>
      </c>
      <c r="M104" s="4">
        <f t="shared" si="13"/>
        <v>-1.7690776692862294E-2</v>
      </c>
      <c r="O104" s="1">
        <v>41456</v>
      </c>
      <c r="P104" s="2">
        <v>0.1</v>
      </c>
      <c r="Q104" s="2">
        <f t="shared" si="14"/>
        <v>143.02496256263211</v>
      </c>
      <c r="R104" s="4">
        <f t="shared" si="19"/>
        <v>5.4912667646719537E-2</v>
      </c>
      <c r="S104" s="4">
        <v>4.4999999999999998E-2</v>
      </c>
      <c r="T104" s="4">
        <f t="shared" si="20"/>
        <v>6.2705592938988364E-2</v>
      </c>
      <c r="U104">
        <f t="shared" si="18"/>
        <v>146.60543432620145</v>
      </c>
      <c r="V104" s="43">
        <v>0.03</v>
      </c>
      <c r="W104" s="42">
        <f t="shared" si="15"/>
        <v>1.0003</v>
      </c>
      <c r="X104" t="str">
        <f t="shared" si="16"/>
        <v>0.03</v>
      </c>
      <c r="Y104" t="str">
        <f t="shared" si="17"/>
        <v>0.1</v>
      </c>
      <c r="AA104">
        <v>41061</v>
      </c>
      <c r="AB104">
        <v>95.994169999999997</v>
      </c>
      <c r="AC104">
        <v>1077.61481</v>
      </c>
      <c r="AD104">
        <v>1097.0945991779299</v>
      </c>
      <c r="AE104">
        <v>-1.7755797168745882E-2</v>
      </c>
    </row>
    <row r="105" spans="1:31" x14ac:dyDescent="0.25">
      <c r="A105" s="1">
        <v>41852</v>
      </c>
      <c r="B105" s="4">
        <v>0.11</v>
      </c>
      <c r="C105" s="16">
        <f t="shared" si="11"/>
        <v>259.34761288897022</v>
      </c>
      <c r="D105" s="4"/>
      <c r="G105" s="4">
        <v>3.7410081486898783E-2</v>
      </c>
      <c r="I105" s="1">
        <v>41122</v>
      </c>
      <c r="J105">
        <v>54.827469999999998</v>
      </c>
      <c r="K105" s="16">
        <f t="shared" si="12"/>
        <v>591.96974</v>
      </c>
      <c r="L105" s="16">
        <v>599.10000100729997</v>
      </c>
      <c r="M105" s="4">
        <f t="shared" si="13"/>
        <v>-1.1901620756654085E-2</v>
      </c>
      <c r="O105" s="1">
        <v>41487</v>
      </c>
      <c r="P105" s="2">
        <v>0.4</v>
      </c>
      <c r="Q105" s="2">
        <f t="shared" si="14"/>
        <v>143.59706241288265</v>
      </c>
      <c r="R105" s="4">
        <f t="shared" si="19"/>
        <v>5.4072769025981904E-2</v>
      </c>
      <c r="S105" s="4">
        <v>4.4999999999999998E-2</v>
      </c>
      <c r="T105" s="4">
        <f t="shared" si="20"/>
        <v>6.090637024404133E-2</v>
      </c>
      <c r="U105">
        <f t="shared" si="18"/>
        <v>146.95728736858433</v>
      </c>
      <c r="V105" s="43">
        <v>0.24</v>
      </c>
      <c r="W105" s="42">
        <f t="shared" si="15"/>
        <v>1.0024</v>
      </c>
      <c r="X105" t="str">
        <f t="shared" si="16"/>
        <v>0.24</v>
      </c>
      <c r="Y105" t="str">
        <f t="shared" si="17"/>
        <v>0.4</v>
      </c>
      <c r="AA105">
        <v>41091</v>
      </c>
      <c r="AB105">
        <v>92.959130000000002</v>
      </c>
      <c r="AC105">
        <v>1085.50593</v>
      </c>
      <c r="AD105">
        <v>1103.46215052415</v>
      </c>
      <c r="AE105">
        <v>-1.6272620239507731E-2</v>
      </c>
    </row>
    <row r="106" spans="1:31" x14ac:dyDescent="0.25">
      <c r="A106" s="1">
        <v>41883</v>
      </c>
      <c r="B106" s="4">
        <v>0.11</v>
      </c>
      <c r="C106" s="16">
        <f t="shared" si="11"/>
        <v>261.72496600711912</v>
      </c>
      <c r="D106" s="4"/>
      <c r="G106" s="4">
        <v>4.0249354295480225E-2</v>
      </c>
      <c r="I106" s="1">
        <v>41153</v>
      </c>
      <c r="J106">
        <v>47.266660000000002</v>
      </c>
      <c r="K106" s="16">
        <f t="shared" si="12"/>
        <v>594.38177000000007</v>
      </c>
      <c r="L106" s="16">
        <v>603.94094705211205</v>
      </c>
      <c r="M106" s="4">
        <f t="shared" si="13"/>
        <v>-1.5827999573089301E-2</v>
      </c>
      <c r="O106" s="1">
        <v>41518</v>
      </c>
      <c r="P106" s="2">
        <v>0.63</v>
      </c>
      <c r="Q106" s="2">
        <f t="shared" si="14"/>
        <v>144.50172390608381</v>
      </c>
      <c r="R106" s="4">
        <f t="shared" si="19"/>
        <v>5.4596766226730375E-2</v>
      </c>
      <c r="S106" s="4">
        <v>4.4999999999999998E-2</v>
      </c>
      <c r="T106" s="4">
        <f t="shared" si="20"/>
        <v>5.8585604593711427E-2</v>
      </c>
      <c r="U106">
        <f t="shared" si="18"/>
        <v>147.47163787437438</v>
      </c>
      <c r="V106" s="43">
        <v>0.35</v>
      </c>
      <c r="W106" s="42">
        <f t="shared" si="15"/>
        <v>1.0035000000000001</v>
      </c>
      <c r="X106" t="str">
        <f t="shared" si="16"/>
        <v>0.35</v>
      </c>
      <c r="Y106" t="str">
        <f t="shared" si="17"/>
        <v>0.63</v>
      </c>
      <c r="AA106">
        <v>41122</v>
      </c>
      <c r="AB106">
        <v>102.06426999999999</v>
      </c>
      <c r="AC106">
        <v>1099.9874400000001</v>
      </c>
      <c r="AD106">
        <v>1109.68404567624</v>
      </c>
      <c r="AE106">
        <v>-8.7381680524484528E-3</v>
      </c>
    </row>
    <row r="107" spans="1:31" x14ac:dyDescent="0.25">
      <c r="A107" s="1">
        <v>41913</v>
      </c>
      <c r="B107" s="4">
        <v>0.11016129032258064</v>
      </c>
      <c r="C107" s="16">
        <f t="shared" si="11"/>
        <v>264.12762933753396</v>
      </c>
      <c r="D107" s="4"/>
      <c r="G107" s="4">
        <v>4.0745433752379823E-2</v>
      </c>
      <c r="I107" s="1">
        <v>41183</v>
      </c>
      <c r="J107">
        <v>55.152169999999998</v>
      </c>
      <c r="K107" s="16">
        <f t="shared" si="12"/>
        <v>602.59197000000006</v>
      </c>
      <c r="L107" s="16">
        <v>608.74159762627505</v>
      </c>
      <c r="M107" s="4">
        <f t="shared" si="13"/>
        <v>-1.0102197139565998E-2</v>
      </c>
      <c r="O107" s="1">
        <v>41548</v>
      </c>
      <c r="P107" s="2">
        <v>0.55000000000000004</v>
      </c>
      <c r="Q107" s="2">
        <f t="shared" si="14"/>
        <v>145.29648338756729</v>
      </c>
      <c r="R107" s="4">
        <f t="shared" si="19"/>
        <v>5.5121441234803559E-2</v>
      </c>
      <c r="S107" s="4">
        <v>4.4999999999999998E-2</v>
      </c>
      <c r="T107" s="4">
        <f t="shared" si="20"/>
        <v>5.8375129277160376E-2</v>
      </c>
      <c r="U107">
        <f t="shared" si="18"/>
        <v>148.31222621025833</v>
      </c>
      <c r="V107" s="43">
        <v>0.56999999999999995</v>
      </c>
      <c r="W107" s="42">
        <f t="shared" si="15"/>
        <v>1.0057</v>
      </c>
      <c r="X107" t="str">
        <f t="shared" si="16"/>
        <v>0.57</v>
      </c>
      <c r="Y107" t="str">
        <f t="shared" si="17"/>
        <v>0.55</v>
      </c>
      <c r="AA107">
        <v>41153</v>
      </c>
      <c r="AB107">
        <v>86.802319999999995</v>
      </c>
      <c r="AC107">
        <v>1103.1091999999999</v>
      </c>
      <c r="AD107">
        <v>1115.7423632801101</v>
      </c>
      <c r="AE107">
        <v>-1.1322652698218513E-2</v>
      </c>
    </row>
    <row r="108" spans="1:31" x14ac:dyDescent="0.25">
      <c r="A108" s="1">
        <v>41944</v>
      </c>
      <c r="B108" s="4">
        <v>0.1125</v>
      </c>
      <c r="C108" s="16">
        <f t="shared" si="11"/>
        <v>266.60382586257333</v>
      </c>
      <c r="D108" s="4"/>
      <c r="G108" s="4">
        <v>4.152157342582604E-2</v>
      </c>
      <c r="I108" s="1">
        <v>41214</v>
      </c>
      <c r="J108">
        <v>53.714230000000001</v>
      </c>
      <c r="K108" s="16">
        <f t="shared" si="12"/>
        <v>607.87990000000013</v>
      </c>
      <c r="L108" s="16">
        <v>613.49458835037206</v>
      </c>
      <c r="M108" s="4">
        <f t="shared" si="13"/>
        <v>-9.1519769807086281E-3</v>
      </c>
      <c r="O108" s="1">
        <v>41579</v>
      </c>
      <c r="P108" s="2">
        <v>0.61</v>
      </c>
      <c r="Q108" s="2">
        <f t="shared" si="14"/>
        <v>146.18279193623144</v>
      </c>
      <c r="R108" s="4">
        <f t="shared" si="19"/>
        <v>5.7223067449791776E-2</v>
      </c>
      <c r="S108" s="4">
        <v>4.4999999999999998E-2</v>
      </c>
      <c r="T108" s="4">
        <f t="shared" si="20"/>
        <v>5.7743891625504196E-2</v>
      </c>
      <c r="U108">
        <f t="shared" si="18"/>
        <v>149.11311223179374</v>
      </c>
      <c r="V108" s="43">
        <v>0.54</v>
      </c>
      <c r="W108" s="42">
        <f t="shared" si="15"/>
        <v>1.0054000000000001</v>
      </c>
      <c r="X108" t="str">
        <f t="shared" si="16"/>
        <v>0.54</v>
      </c>
      <c r="Y108" t="str">
        <f t="shared" si="17"/>
        <v>0.61</v>
      </c>
      <c r="AA108">
        <v>41183</v>
      </c>
      <c r="AB108">
        <v>101.63069</v>
      </c>
      <c r="AC108">
        <v>1117.9375700000001</v>
      </c>
      <c r="AD108">
        <v>1121.6185086062701</v>
      </c>
      <c r="AE108">
        <v>-3.2818097936383054E-3</v>
      </c>
    </row>
    <row r="109" spans="1:31" ht="15.75" thickBot="1" x14ac:dyDescent="0.3">
      <c r="A109" s="1">
        <v>41974</v>
      </c>
      <c r="B109" s="4">
        <v>0.11701612903225805</v>
      </c>
      <c r="C109" s="16">
        <f t="shared" si="11"/>
        <v>269.20357150320905</v>
      </c>
      <c r="D109" s="4">
        <f>C109/C97-1</f>
        <v>0.11523655426513812</v>
      </c>
      <c r="G109" s="4">
        <v>4.1084343096194194E-2</v>
      </c>
      <c r="I109" s="1">
        <v>41244</v>
      </c>
      <c r="J109">
        <v>66.470200000000006</v>
      </c>
      <c r="K109" s="16">
        <f t="shared" si="12"/>
        <v>611.82266000000004</v>
      </c>
      <c r="L109" s="16">
        <v>618.19212765070404</v>
      </c>
      <c r="M109" s="19">
        <f t="shared" si="13"/>
        <v>-1.0303378781139905E-2</v>
      </c>
      <c r="O109" s="1">
        <v>41609</v>
      </c>
      <c r="P109" s="2">
        <v>0.67</v>
      </c>
      <c r="Q109" s="2">
        <f t="shared" si="14"/>
        <v>147.16221664220419</v>
      </c>
      <c r="R109" s="4">
        <f t="shared" si="19"/>
        <v>5.7748421786628201E-2</v>
      </c>
      <c r="S109" s="4">
        <v>4.4999999999999998E-2</v>
      </c>
      <c r="T109" s="4">
        <f t="shared" si="20"/>
        <v>5.9108180800137911E-2</v>
      </c>
      <c r="U109">
        <f t="shared" si="18"/>
        <v>150.48495286432626</v>
      </c>
      <c r="V109" s="44">
        <v>0.92</v>
      </c>
      <c r="W109" s="42">
        <f t="shared" si="15"/>
        <v>1.0092000000000001</v>
      </c>
      <c r="X109" t="str">
        <f t="shared" si="16"/>
        <v>0.92</v>
      </c>
      <c r="Y109" t="str">
        <f t="shared" si="17"/>
        <v>0.67</v>
      </c>
      <c r="AA109">
        <v>41214</v>
      </c>
      <c r="AB109">
        <v>98.769069999999999</v>
      </c>
      <c r="AC109">
        <v>1127.21614</v>
      </c>
      <c r="AD109">
        <v>1127.2930096222301</v>
      </c>
      <c r="AE109">
        <v>-6.818956701937318E-5</v>
      </c>
    </row>
    <row r="110" spans="1:31" ht="15.75" thickTop="1" x14ac:dyDescent="0.25">
      <c r="A110" s="1">
        <v>42005</v>
      </c>
      <c r="B110" s="4">
        <v>0.11911290322580646</v>
      </c>
      <c r="C110" s="16">
        <f t="shared" si="11"/>
        <v>271.87570641658431</v>
      </c>
      <c r="D110" s="4"/>
      <c r="G110" s="4">
        <v>3.7139242125468166E-2</v>
      </c>
      <c r="I110" s="1">
        <v>41275</v>
      </c>
      <c r="J110">
        <v>50.606409999999997</v>
      </c>
      <c r="K110" s="16">
        <f t="shared" si="12"/>
        <v>616.83227999999997</v>
      </c>
      <c r="L110" s="16">
        <v>622.82603405160705</v>
      </c>
      <c r="M110" s="4">
        <f t="shared" si="13"/>
        <v>-9.6234802720376409E-3</v>
      </c>
      <c r="O110" s="1">
        <v>41640</v>
      </c>
      <c r="P110" s="2">
        <v>0.53</v>
      </c>
      <c r="Q110" s="2">
        <f t="shared" si="14"/>
        <v>147.94217639040787</v>
      </c>
      <c r="R110" s="4">
        <f t="shared" si="19"/>
        <v>5.4183095491322941E-2</v>
      </c>
      <c r="S110" s="4">
        <v>4.4999999999999998E-2</v>
      </c>
      <c r="T110" s="4">
        <f t="shared" si="20"/>
        <v>5.5852940506185833E-2</v>
      </c>
      <c r="U110">
        <f t="shared" si="18"/>
        <v>151.31262010508007</v>
      </c>
      <c r="V110" s="41">
        <v>0.55000000000000004</v>
      </c>
      <c r="W110" s="42">
        <f t="shared" si="15"/>
        <v>1.0055000000000001</v>
      </c>
      <c r="X110" t="str">
        <f t="shared" si="16"/>
        <v>0.55</v>
      </c>
      <c r="Y110" t="str">
        <f t="shared" si="17"/>
        <v>0.53</v>
      </c>
      <c r="AA110">
        <v>41244</v>
      </c>
      <c r="AB110">
        <v>121.57528000000001</v>
      </c>
      <c r="AC110">
        <v>1132.67923</v>
      </c>
      <c r="AD110">
        <v>1132.74613867476</v>
      </c>
      <c r="AE110">
        <v>-5.906766968839283E-5</v>
      </c>
    </row>
    <row r="111" spans="1:31" x14ac:dyDescent="0.25">
      <c r="A111" s="1">
        <v>42036</v>
      </c>
      <c r="B111" s="4">
        <v>0.1225</v>
      </c>
      <c r="C111" s="16">
        <f t="shared" si="11"/>
        <v>274.65110425292028</v>
      </c>
      <c r="D111" s="4"/>
      <c r="G111" s="4">
        <v>3.0142885670747931E-2</v>
      </c>
      <c r="I111" s="1">
        <v>41306</v>
      </c>
      <c r="J111">
        <v>45.086550000000003</v>
      </c>
      <c r="K111" s="16">
        <f t="shared" si="12"/>
        <v>620.03287</v>
      </c>
      <c r="L111" s="16">
        <v>627.38768356854905</v>
      </c>
      <c r="M111" s="4">
        <f t="shared" si="13"/>
        <v>-1.1722916724656187E-2</v>
      </c>
      <c r="O111" s="1">
        <v>41671</v>
      </c>
      <c r="P111" s="2">
        <v>0.46</v>
      </c>
      <c r="Q111" s="2">
        <f t="shared" si="14"/>
        <v>148.62271040180374</v>
      </c>
      <c r="R111" s="4">
        <f t="shared" si="19"/>
        <v>5.5338652447018299E-2</v>
      </c>
      <c r="S111" s="4">
        <v>4.4999999999999998E-2</v>
      </c>
      <c r="T111" s="4">
        <f t="shared" si="20"/>
        <v>5.6797540552364412E-2</v>
      </c>
      <c r="U111">
        <f t="shared" si="18"/>
        <v>152.35667718380512</v>
      </c>
      <c r="V111" s="41">
        <v>0.69</v>
      </c>
      <c r="W111" s="42">
        <f t="shared" si="15"/>
        <v>1.0068999999999999</v>
      </c>
      <c r="X111" t="str">
        <f t="shared" si="16"/>
        <v>0.69</v>
      </c>
      <c r="Y111" t="str">
        <f t="shared" si="17"/>
        <v>0.46</v>
      </c>
      <c r="AA111">
        <v>41275</v>
      </c>
      <c r="AB111">
        <v>91.571680000000001</v>
      </c>
      <c r="AC111">
        <v>1139.5297599999999</v>
      </c>
      <c r="AD111">
        <v>1137.9581627724499</v>
      </c>
      <c r="AE111">
        <v>1.3810676692375577E-3</v>
      </c>
    </row>
    <row r="112" spans="1:31" x14ac:dyDescent="0.25">
      <c r="A112" s="1">
        <v>42064</v>
      </c>
      <c r="B112" s="4">
        <v>0.12685483870967743</v>
      </c>
      <c r="C112" s="16">
        <f t="shared" si="11"/>
        <v>277.55450604720681</v>
      </c>
      <c r="D112" s="4"/>
      <c r="G112" s="4">
        <v>3.2733109901301564E-2</v>
      </c>
      <c r="I112" s="1">
        <v>41334</v>
      </c>
      <c r="J112">
        <v>55.430480000000003</v>
      </c>
      <c r="K112" s="16">
        <f t="shared" si="12"/>
        <v>625.55271999999991</v>
      </c>
      <c r="L112" s="16">
        <v>631.86803582574805</v>
      </c>
      <c r="M112" s="4">
        <f t="shared" si="13"/>
        <v>-9.9946752607845725E-3</v>
      </c>
      <c r="O112" s="1">
        <v>41699</v>
      </c>
      <c r="P112" s="2">
        <v>0.93</v>
      </c>
      <c r="Q112" s="2">
        <f t="shared" si="14"/>
        <v>150.00490160854054</v>
      </c>
      <c r="R112" s="4">
        <f t="shared" si="19"/>
        <v>6.0276032166808546E-2</v>
      </c>
      <c r="S112" s="4">
        <v>4.4999999999999998E-2</v>
      </c>
      <c r="T112" s="4">
        <f t="shared" si="20"/>
        <v>6.15308827763974E-2</v>
      </c>
      <c r="U112">
        <f t="shared" si="18"/>
        <v>153.75835861389615</v>
      </c>
      <c r="V112" s="41">
        <v>0.92</v>
      </c>
      <c r="W112" s="42">
        <f t="shared" si="15"/>
        <v>1.0092000000000001</v>
      </c>
      <c r="X112" t="str">
        <f t="shared" si="16"/>
        <v>0.92</v>
      </c>
      <c r="Y112" t="str">
        <f t="shared" si="17"/>
        <v>0.93</v>
      </c>
      <c r="AA112">
        <v>41306</v>
      </c>
      <c r="AB112">
        <v>80.558800000000005</v>
      </c>
      <c r="AC112">
        <v>1142.21795</v>
      </c>
      <c r="AD112">
        <v>1142.9093442774799</v>
      </c>
      <c r="AE112">
        <v>-6.049423613007915E-4</v>
      </c>
    </row>
    <row r="113" spans="1:31" x14ac:dyDescent="0.25">
      <c r="A113" s="1">
        <v>42095</v>
      </c>
      <c r="B113" s="4">
        <v>0.12766666666666668</v>
      </c>
      <c r="C113" s="16">
        <f t="shared" si="11"/>
        <v>280.50737759765349</v>
      </c>
      <c r="D113" s="4"/>
      <c r="G113" s="4">
        <v>2.7863079153851347E-2</v>
      </c>
      <c r="I113" s="1">
        <v>41365</v>
      </c>
      <c r="J113">
        <v>53.575069999999997</v>
      </c>
      <c r="K113" s="16">
        <f t="shared" si="12"/>
        <v>632.88159999999993</v>
      </c>
      <c r="L113" s="16">
        <v>636.25753949717102</v>
      </c>
      <c r="M113" s="4">
        <f t="shared" si="13"/>
        <v>-5.3059324056718695E-3</v>
      </c>
      <c r="O113" s="1">
        <v>41730</v>
      </c>
      <c r="P113" s="2">
        <v>1.08</v>
      </c>
      <c r="Q113" s="2">
        <f t="shared" si="14"/>
        <v>151.62495454591277</v>
      </c>
      <c r="R113" s="4">
        <f t="shared" si="19"/>
        <v>6.8308426349890317E-2</v>
      </c>
      <c r="S113" s="4">
        <v>4.4999999999999998E-2</v>
      </c>
      <c r="T113" s="4">
        <f t="shared" si="20"/>
        <v>6.2797752054698286E-2</v>
      </c>
      <c r="U113">
        <f t="shared" si="18"/>
        <v>154.78853961660926</v>
      </c>
      <c r="V113" s="41">
        <v>0.67</v>
      </c>
      <c r="W113" s="42">
        <f t="shared" si="15"/>
        <v>1.0066999999999999</v>
      </c>
      <c r="X113" t="str">
        <f t="shared" si="16"/>
        <v>0.67</v>
      </c>
      <c r="Y113" t="str">
        <f t="shared" si="17"/>
        <v>1.08</v>
      </c>
      <c r="AA113" t="s">
        <v>42</v>
      </c>
      <c r="AB113">
        <v>98.335499999999996</v>
      </c>
      <c r="AC113">
        <v>1147.85447</v>
      </c>
      <c r="AD113">
        <v>1147.5800546907101</v>
      </c>
      <c r="AE113">
        <v>2.3912519929937775E-4</v>
      </c>
    </row>
    <row r="114" spans="1:31" x14ac:dyDescent="0.25">
      <c r="A114" s="1">
        <v>42125</v>
      </c>
      <c r="B114" s="4">
        <v>0.13250000000000001</v>
      </c>
      <c r="C114" s="16">
        <f t="shared" si="11"/>
        <v>283.60464655862756</v>
      </c>
      <c r="D114" s="4"/>
      <c r="G114" s="4">
        <v>2.1469265861119687E-2</v>
      </c>
      <c r="I114" s="1">
        <v>41395</v>
      </c>
      <c r="J114">
        <v>54.038919999999997</v>
      </c>
      <c r="K114" s="16">
        <f t="shared" si="12"/>
        <v>637.19542999999987</v>
      </c>
      <c r="L114" s="16">
        <v>640.54620450430002</v>
      </c>
      <c r="M114" s="4">
        <f t="shared" si="13"/>
        <v>-5.2311206915872906E-3</v>
      </c>
      <c r="O114" s="1">
        <v>41760</v>
      </c>
      <c r="P114" s="2">
        <v>0.75</v>
      </c>
      <c r="Q114" s="2">
        <f t="shared" si="14"/>
        <v>152.76214170500714</v>
      </c>
      <c r="R114" s="4">
        <f t="shared" si="19"/>
        <v>7.0965909997527277E-2</v>
      </c>
      <c r="S114" s="4">
        <v>4.4999999999999998E-2</v>
      </c>
      <c r="T114" s="4">
        <f t="shared" si="20"/>
        <v>6.3750743961492162E-2</v>
      </c>
      <c r="U114">
        <f t="shared" si="18"/>
        <v>155.50056689884565</v>
      </c>
      <c r="V114" s="41">
        <v>0.46</v>
      </c>
      <c r="W114" s="42">
        <f t="shared" si="15"/>
        <v>1.0045999999999999</v>
      </c>
      <c r="X114" t="str">
        <f t="shared" si="16"/>
        <v>0.46</v>
      </c>
      <c r="Y114" t="str">
        <f t="shared" si="17"/>
        <v>0.75</v>
      </c>
      <c r="AA114">
        <v>41365</v>
      </c>
      <c r="AB114">
        <v>95.127020000000002</v>
      </c>
      <c r="AC114">
        <v>1157.3931899999998</v>
      </c>
      <c r="AD114">
        <v>1151.9506174994999</v>
      </c>
      <c r="AE114">
        <v>4.7246578263171312E-3</v>
      </c>
    </row>
    <row r="115" spans="1:31" x14ac:dyDescent="0.25">
      <c r="A115" s="1">
        <v>42156</v>
      </c>
      <c r="B115" s="4">
        <v>0.13699999999999998</v>
      </c>
      <c r="C115" s="16">
        <f t="shared" si="11"/>
        <v>286.84246627350524</v>
      </c>
      <c r="D115" s="4"/>
      <c r="G115" s="4">
        <v>2.2017054268093191E-2</v>
      </c>
      <c r="I115" s="1">
        <v>41426</v>
      </c>
      <c r="J115">
        <v>54.363619999999997</v>
      </c>
      <c r="K115" s="16">
        <f t="shared" si="12"/>
        <v>640.30324999999982</v>
      </c>
      <c r="L115" s="16">
        <v>644.72380621725904</v>
      </c>
      <c r="M115" s="4">
        <f t="shared" si="13"/>
        <v>-6.8565115397174877E-3</v>
      </c>
      <c r="O115" s="1">
        <v>41791</v>
      </c>
      <c r="P115" s="2">
        <v>0.28999999999999998</v>
      </c>
      <c r="Q115" s="2">
        <f t="shared" si="14"/>
        <v>153.20515191595163</v>
      </c>
      <c r="R115" s="4">
        <f t="shared" si="19"/>
        <v>7.2248888026874125E-2</v>
      </c>
      <c r="S115" s="4">
        <v>4.4999999999999998E-2</v>
      </c>
      <c r="T115" s="4">
        <f t="shared" si="20"/>
        <v>6.5236132991560059E-2</v>
      </c>
      <c r="U115">
        <f t="shared" si="18"/>
        <v>156.12256916644102</v>
      </c>
      <c r="V115" s="41">
        <v>0.4</v>
      </c>
      <c r="W115" s="42">
        <f t="shared" si="15"/>
        <v>1.004</v>
      </c>
      <c r="X115" t="str">
        <f t="shared" si="16"/>
        <v>0.4</v>
      </c>
      <c r="Y115" t="str">
        <f t="shared" si="17"/>
        <v>0.29</v>
      </c>
      <c r="AA115">
        <v>41395</v>
      </c>
      <c r="AB115">
        <v>95.300449999999998</v>
      </c>
      <c r="AC115">
        <v>1160.6883800000001</v>
      </c>
      <c r="AD115">
        <v>1156.0013752478501</v>
      </c>
      <c r="AE115">
        <v>4.0544975572758745E-3</v>
      </c>
    </row>
    <row r="116" spans="1:31" x14ac:dyDescent="0.25">
      <c r="A116" s="1">
        <v>42186</v>
      </c>
      <c r="B116" s="4">
        <v>0.13782258064516129</v>
      </c>
      <c r="C116" s="16">
        <f t="shared" si="11"/>
        <v>290.13691368520836</v>
      </c>
      <c r="D116" s="4"/>
      <c r="G116" s="4">
        <v>1.8232564833566389E-2</v>
      </c>
      <c r="I116" s="1">
        <v>41456</v>
      </c>
      <c r="J116">
        <v>57.51782</v>
      </c>
      <c r="K116" s="16">
        <f t="shared" si="12"/>
        <v>648.04959999999994</v>
      </c>
      <c r="L116" s="16">
        <v>648.77988763086296</v>
      </c>
      <c r="M116" s="4">
        <f t="shared" si="13"/>
        <v>-1.1256323520289675E-3</v>
      </c>
      <c r="O116" s="1">
        <v>41821</v>
      </c>
      <c r="P116" s="2">
        <v>0.05</v>
      </c>
      <c r="Q116" s="2">
        <f t="shared" si="14"/>
        <v>153.2817544919096</v>
      </c>
      <c r="R116" s="4">
        <f t="shared" si="19"/>
        <v>7.1713299171715761E-2</v>
      </c>
      <c r="S116" s="4">
        <v>4.4999999999999998E-2</v>
      </c>
      <c r="T116" s="4">
        <f t="shared" si="20"/>
        <v>6.5023149659961366E-2</v>
      </c>
      <c r="U116">
        <f t="shared" si="18"/>
        <v>156.13818142335768</v>
      </c>
      <c r="V116" s="41">
        <v>0.01</v>
      </c>
      <c r="W116" s="42">
        <f t="shared" si="15"/>
        <v>1.0001</v>
      </c>
      <c r="X116" t="str">
        <f t="shared" si="16"/>
        <v>0.01</v>
      </c>
      <c r="Y116" t="str">
        <f t="shared" si="17"/>
        <v>0.05</v>
      </c>
      <c r="AA116">
        <v>41426</v>
      </c>
      <c r="AB116">
        <v>95.734030000000004</v>
      </c>
      <c r="AC116">
        <v>1160.4282400000002</v>
      </c>
      <c r="AD116">
        <v>1159.7130484361701</v>
      </c>
      <c r="AE116">
        <v>6.1669700517254038E-4</v>
      </c>
    </row>
    <row r="117" spans="1:31" x14ac:dyDescent="0.25">
      <c r="A117" s="1">
        <v>42217</v>
      </c>
      <c r="B117" s="4">
        <v>0.14249999999999999</v>
      </c>
      <c r="C117" s="16">
        <f t="shared" si="11"/>
        <v>293.58228953522024</v>
      </c>
      <c r="D117" s="4"/>
      <c r="G117" s="4">
        <v>1.2826457404584313E-2</v>
      </c>
      <c r="I117" s="1">
        <v>41487</v>
      </c>
      <c r="J117">
        <v>58.028060000000004</v>
      </c>
      <c r="K117" s="16">
        <f t="shared" si="12"/>
        <v>651.25018999999998</v>
      </c>
      <c r="L117" s="16">
        <v>652.70368453115896</v>
      </c>
      <c r="M117" s="4">
        <f t="shared" si="13"/>
        <v>-2.2268826813855586E-3</v>
      </c>
      <c r="O117" s="1">
        <v>41852</v>
      </c>
      <c r="P117" s="2">
        <v>0.15</v>
      </c>
      <c r="Q117" s="2">
        <f t="shared" si="14"/>
        <v>153.51167712364747</v>
      </c>
      <c r="R117" s="4">
        <f t="shared" si="19"/>
        <v>6.9044690359037153E-2</v>
      </c>
      <c r="S117" s="4">
        <v>4.4999999999999998E-2</v>
      </c>
      <c r="T117" s="4">
        <f t="shared" si="20"/>
        <v>6.5129396981356003E-2</v>
      </c>
      <c r="U117">
        <f t="shared" si="18"/>
        <v>156.52852687691606</v>
      </c>
      <c r="V117" s="41">
        <v>0.25</v>
      </c>
      <c r="W117" s="42">
        <f t="shared" si="15"/>
        <v>1.0024999999999999</v>
      </c>
      <c r="X117" t="str">
        <f t="shared" si="16"/>
        <v>0.25</v>
      </c>
      <c r="Y117" t="str">
        <f t="shared" si="17"/>
        <v>0.15</v>
      </c>
      <c r="AA117">
        <v>41456</v>
      </c>
      <c r="AB117">
        <v>102.15098</v>
      </c>
      <c r="AC117">
        <v>1169.6200899999999</v>
      </c>
      <c r="AD117">
        <v>1163.0666830513101</v>
      </c>
      <c r="AE117">
        <v>5.6345926198289311E-3</v>
      </c>
    </row>
    <row r="118" spans="1:31" x14ac:dyDescent="0.25">
      <c r="A118" s="1">
        <v>42248</v>
      </c>
      <c r="B118" s="4">
        <v>0.14249999999999999</v>
      </c>
      <c r="C118" s="16">
        <f t="shared" si="11"/>
        <v>297.06857922345102</v>
      </c>
      <c r="D118" s="4"/>
      <c r="G118" s="4">
        <v>3.6917002467614347E-3</v>
      </c>
      <c r="I118" s="1">
        <v>41518</v>
      </c>
      <c r="J118">
        <v>56.126260000000002</v>
      </c>
      <c r="K118" s="16">
        <f t="shared" si="12"/>
        <v>660.10978999999998</v>
      </c>
      <c r="L118" s="16">
        <v>656.48438201755505</v>
      </c>
      <c r="M118" s="4">
        <f t="shared" si="13"/>
        <v>5.5224588455601359E-3</v>
      </c>
      <c r="O118" s="1">
        <v>41883</v>
      </c>
      <c r="P118" s="2">
        <v>0.41</v>
      </c>
      <c r="Q118" s="2">
        <f t="shared" si="14"/>
        <v>154.14107499985442</v>
      </c>
      <c r="R118" s="4">
        <f t="shared" si="19"/>
        <v>6.6707516237214826E-2</v>
      </c>
      <c r="S118" s="4">
        <v>4.4999999999999998E-2</v>
      </c>
      <c r="T118" s="4">
        <f t="shared" si="20"/>
        <v>6.7464508763477538E-2</v>
      </c>
      <c r="U118">
        <f t="shared" si="18"/>
        <v>157.42073948011449</v>
      </c>
      <c r="V118" s="41">
        <v>0.56999999999999995</v>
      </c>
      <c r="W118" s="42">
        <f t="shared" si="15"/>
        <v>1.0057</v>
      </c>
      <c r="X118" t="str">
        <f t="shared" si="16"/>
        <v>0.57</v>
      </c>
      <c r="Y118" t="str">
        <f t="shared" si="17"/>
        <v>0.41</v>
      </c>
      <c r="AA118">
        <v>41487</v>
      </c>
      <c r="AB118">
        <v>102.84471000000001</v>
      </c>
      <c r="AC118">
        <v>1170.4005300000001</v>
      </c>
      <c r="AD118">
        <v>1166.04337474621</v>
      </c>
      <c r="AE118">
        <v>3.7367008364834063E-3</v>
      </c>
    </row>
    <row r="119" spans="1:31" x14ac:dyDescent="0.25">
      <c r="A119" s="1">
        <v>42278</v>
      </c>
      <c r="B119" s="4">
        <v>0.14249999999999999</v>
      </c>
      <c r="C119" s="16">
        <f t="shared" si="11"/>
        <v>300.59626860172955</v>
      </c>
      <c r="D119" s="4"/>
      <c r="G119" s="4">
        <v>-4.4577581735831089E-3</v>
      </c>
      <c r="I119" s="1">
        <v>41548</v>
      </c>
      <c r="J119">
        <v>61.182270000000003</v>
      </c>
      <c r="K119" s="16">
        <f t="shared" si="12"/>
        <v>666.13989000000004</v>
      </c>
      <c r="L119" s="16">
        <v>660.11106423914498</v>
      </c>
      <c r="M119" s="4">
        <f t="shared" si="13"/>
        <v>9.1330475846575637E-3</v>
      </c>
      <c r="O119" s="1">
        <v>41913</v>
      </c>
      <c r="P119" s="2">
        <v>0.74</v>
      </c>
      <c r="Q119" s="2">
        <f t="shared" si="14"/>
        <v>155.28171895485335</v>
      </c>
      <c r="R119" s="4">
        <f t="shared" si="19"/>
        <v>6.8723174398179987E-2</v>
      </c>
      <c r="S119" s="4">
        <v>4.4999999999999998E-2</v>
      </c>
      <c r="T119" s="4">
        <f t="shared" si="20"/>
        <v>6.5872387093848905E-2</v>
      </c>
      <c r="U119">
        <f t="shared" si="18"/>
        <v>158.08190658593097</v>
      </c>
      <c r="V119" s="41">
        <v>0.42</v>
      </c>
      <c r="W119" s="42">
        <f t="shared" si="15"/>
        <v>1.0042</v>
      </c>
      <c r="X119" t="str">
        <f t="shared" si="16"/>
        <v>0.42</v>
      </c>
      <c r="Y119" t="str">
        <f t="shared" si="17"/>
        <v>0.74</v>
      </c>
      <c r="AA119">
        <v>41518</v>
      </c>
      <c r="AB119">
        <v>98.855789999999999</v>
      </c>
      <c r="AC119">
        <v>1182.4540000000002</v>
      </c>
      <c r="AD119">
        <v>1168.6246742715</v>
      </c>
      <c r="AE119">
        <v>1.1833847113591998E-2</v>
      </c>
    </row>
    <row r="120" spans="1:31" x14ac:dyDescent="0.25">
      <c r="A120" s="1">
        <v>42309</v>
      </c>
      <c r="B120" s="4">
        <v>0.14249999999999999</v>
      </c>
      <c r="C120" s="16">
        <f t="shared" si="11"/>
        <v>304.16584929137514</v>
      </c>
      <c r="D120" s="4"/>
      <c r="G120" s="4">
        <v>-1.5734126690197747E-2</v>
      </c>
      <c r="I120" s="1">
        <v>41579</v>
      </c>
      <c r="J120">
        <v>61.831659999999999</v>
      </c>
      <c r="K120" s="16">
        <f t="shared" si="12"/>
        <v>674.25731999999994</v>
      </c>
      <c r="L120" s="16">
        <v>663.57306712404898</v>
      </c>
      <c r="M120" s="4">
        <f t="shared" si="13"/>
        <v>1.610109482329794E-2</v>
      </c>
      <c r="O120" s="1">
        <v>41944</v>
      </c>
      <c r="P120" s="2">
        <v>0.39</v>
      </c>
      <c r="Q120" s="2">
        <f t="shared" si="14"/>
        <v>155.88731765877728</v>
      </c>
      <c r="R120" s="4">
        <f t="shared" si="19"/>
        <v>6.6386238722128121E-2</v>
      </c>
      <c r="S120" s="4">
        <v>4.4999999999999998E-2</v>
      </c>
      <c r="T120" s="4">
        <f t="shared" si="20"/>
        <v>6.5554342816817046E-2</v>
      </c>
      <c r="U120">
        <f t="shared" si="18"/>
        <v>158.88812430951924</v>
      </c>
      <c r="V120" s="41">
        <v>0.51</v>
      </c>
      <c r="W120" s="42">
        <f t="shared" si="15"/>
        <v>1.0051000000000001</v>
      </c>
      <c r="X120" t="str">
        <f t="shared" si="16"/>
        <v>0.51</v>
      </c>
      <c r="Y120" t="str">
        <f t="shared" si="17"/>
        <v>0.39</v>
      </c>
      <c r="AA120">
        <v>41548</v>
      </c>
      <c r="AB120">
        <v>106.83363</v>
      </c>
      <c r="AC120">
        <v>1187.6569400000001</v>
      </c>
      <c r="AD120">
        <v>1170.7924349580501</v>
      </c>
      <c r="AE120">
        <v>1.4404350880994767E-2</v>
      </c>
    </row>
    <row r="121" spans="1:31" x14ac:dyDescent="0.25">
      <c r="A121" s="1">
        <v>42339</v>
      </c>
      <c r="B121" s="4">
        <v>0.14249999999999999</v>
      </c>
      <c r="C121" s="16">
        <f t="shared" si="11"/>
        <v>307.77781875171024</v>
      </c>
      <c r="D121" s="4">
        <f>C121/C109-1</f>
        <v>0.14329025069432033</v>
      </c>
      <c r="G121" s="4">
        <v>-2.5622552532678929E-2</v>
      </c>
      <c r="I121" s="1">
        <v>41609</v>
      </c>
      <c r="J121">
        <v>75.237030000000004</v>
      </c>
      <c r="K121" s="16">
        <f t="shared" si="12"/>
        <v>683.02414999999996</v>
      </c>
      <c r="L121" s="16">
        <v>666.86014527648001</v>
      </c>
      <c r="M121" s="20">
        <f t="shared" si="13"/>
        <v>2.4238972501225666E-2</v>
      </c>
      <c r="O121" s="1">
        <v>41974</v>
      </c>
      <c r="P121" s="2">
        <v>0.8</v>
      </c>
      <c r="Q121" s="2">
        <f t="shared" si="14"/>
        <v>157.1344162000475</v>
      </c>
      <c r="R121" s="4">
        <f t="shared" si="19"/>
        <v>6.7763314425255849E-2</v>
      </c>
      <c r="S121" s="4">
        <v>4.4999999999999998E-2</v>
      </c>
      <c r="T121" s="4">
        <f t="shared" si="20"/>
        <v>6.4076165963919962E-2</v>
      </c>
      <c r="U121">
        <f t="shared" si="18"/>
        <v>160.12745167913349</v>
      </c>
      <c r="V121" s="41">
        <v>0.78</v>
      </c>
      <c r="W121" s="42">
        <f t="shared" si="15"/>
        <v>1.0078</v>
      </c>
      <c r="X121" t="str">
        <f t="shared" si="16"/>
        <v>0.78</v>
      </c>
      <c r="Y121" t="str">
        <f t="shared" si="17"/>
        <v>0.8</v>
      </c>
      <c r="AA121">
        <v>41579</v>
      </c>
      <c r="AB121">
        <v>107.87421000000001</v>
      </c>
      <c r="AC121">
        <v>1196.7620799999997</v>
      </c>
      <c r="AD121">
        <v>1172.5294705065801</v>
      </c>
      <c r="AE121">
        <v>2.0666951324430416E-2</v>
      </c>
    </row>
    <row r="122" spans="1:31" x14ac:dyDescent="0.25">
      <c r="A122" s="1">
        <v>42370</v>
      </c>
      <c r="B122" s="4">
        <v>0.14249999999999999</v>
      </c>
      <c r="C122" s="16">
        <f t="shared" si="11"/>
        <v>311.43268034938683</v>
      </c>
      <c r="D122" s="4"/>
      <c r="G122" s="4">
        <v>-3.1815395254337964E-2</v>
      </c>
      <c r="I122" s="1">
        <v>41640</v>
      </c>
      <c r="J122">
        <v>59.002160000000003</v>
      </c>
      <c r="K122" s="16">
        <f t="shared" si="12"/>
        <v>691.4199000000001</v>
      </c>
      <c r="L122" s="16">
        <v>669.96279544876904</v>
      </c>
      <c r="M122" s="4">
        <f t="shared" si="13"/>
        <v>3.2027307631102397E-2</v>
      </c>
      <c r="O122" s="1">
        <v>42005</v>
      </c>
      <c r="P122" s="2">
        <v>1.19</v>
      </c>
      <c r="Q122" s="2">
        <f t="shared" si="14"/>
        <v>159.00431575282806</v>
      </c>
      <c r="R122" s="4">
        <f t="shared" si="19"/>
        <v>7.4773398852995498E-2</v>
      </c>
      <c r="S122" s="4">
        <v>4.4999999999999998E-2</v>
      </c>
      <c r="T122" s="4">
        <f t="shared" si="20"/>
        <v>7.1378130703005693E-2</v>
      </c>
      <c r="U122">
        <f t="shared" si="18"/>
        <v>162.11303207995473</v>
      </c>
      <c r="V122" s="41">
        <v>1.24</v>
      </c>
      <c r="W122" s="42">
        <f t="shared" si="15"/>
        <v>1.0124</v>
      </c>
      <c r="X122" t="str">
        <f t="shared" si="16"/>
        <v>1.24</v>
      </c>
      <c r="Y122" t="str">
        <f t="shared" si="17"/>
        <v>1.19</v>
      </c>
      <c r="AA122">
        <v>41609</v>
      </c>
      <c r="AB122">
        <v>130.16012000000001</v>
      </c>
      <c r="AC122">
        <v>1205.34692</v>
      </c>
      <c r="AD122">
        <v>1173.81976576396</v>
      </c>
      <c r="AE122">
        <v>2.6858598871455371E-2</v>
      </c>
    </row>
    <row r="123" spans="1:31" x14ac:dyDescent="0.25">
      <c r="A123" s="1">
        <v>42401</v>
      </c>
      <c r="B123" s="4">
        <v>0.14249999999999999</v>
      </c>
      <c r="C123" s="16">
        <f t="shared" si="11"/>
        <v>315.13094342853583</v>
      </c>
      <c r="D123" s="4"/>
      <c r="G123" s="4">
        <v>-2.9871452610659297E-2</v>
      </c>
      <c r="I123" s="1">
        <v>41671</v>
      </c>
      <c r="J123">
        <v>53.343139999999998</v>
      </c>
      <c r="K123" s="16">
        <f t="shared" si="12"/>
        <v>699.67648999999994</v>
      </c>
      <c r="L123" s="16">
        <v>672.87263660537997</v>
      </c>
      <c r="M123" s="4">
        <f t="shared" si="13"/>
        <v>3.9834958261706889E-2</v>
      </c>
      <c r="O123" s="1">
        <v>42036</v>
      </c>
      <c r="P123" s="2">
        <v>1.1299999999999999</v>
      </c>
      <c r="Q123" s="2">
        <f t="shared" si="14"/>
        <v>160.80106452083504</v>
      </c>
      <c r="R123" s="4">
        <f t="shared" si="19"/>
        <v>8.1941407784227094E-2</v>
      </c>
      <c r="S123" s="4">
        <v>4.4999999999999998E-2</v>
      </c>
      <c r="T123" s="4">
        <f t="shared" si="20"/>
        <v>7.7017522988958698E-2</v>
      </c>
      <c r="U123">
        <f t="shared" si="18"/>
        <v>164.09081107133019</v>
      </c>
      <c r="V123" s="41">
        <v>1.22</v>
      </c>
      <c r="W123" s="42">
        <f t="shared" si="15"/>
        <v>1.0122</v>
      </c>
      <c r="X123" t="str">
        <f t="shared" si="16"/>
        <v>1.22</v>
      </c>
      <c r="Y123" t="str">
        <f t="shared" si="17"/>
        <v>1.13</v>
      </c>
      <c r="AA123">
        <v>41640</v>
      </c>
      <c r="AB123">
        <v>102.15098</v>
      </c>
      <c r="AC123">
        <v>1215.9262199999998</v>
      </c>
      <c r="AD123">
        <v>1174.6489883972099</v>
      </c>
      <c r="AE123">
        <v>3.5140056315131264E-2</v>
      </c>
    </row>
    <row r="124" spans="1:31" x14ac:dyDescent="0.25">
      <c r="A124" s="1">
        <v>42430</v>
      </c>
      <c r="B124" s="4">
        <v>0.14249999999999999</v>
      </c>
      <c r="C124" s="16">
        <f t="shared" si="11"/>
        <v>318.87312338174974</v>
      </c>
      <c r="D124" s="4"/>
      <c r="G124" s="4">
        <v>-3.2377605333032862E-2</v>
      </c>
      <c r="I124" s="1">
        <v>41699</v>
      </c>
      <c r="J124">
        <v>56.219029999999997</v>
      </c>
      <c r="K124" s="16">
        <f t="shared" si="12"/>
        <v>700.46503999999993</v>
      </c>
      <c r="L124" s="16">
        <v>675.58277779442506</v>
      </c>
      <c r="M124" s="4">
        <f t="shared" si="13"/>
        <v>3.6830811890747113E-2</v>
      </c>
      <c r="O124" s="1">
        <v>42064</v>
      </c>
      <c r="P124" s="2">
        <v>1.81</v>
      </c>
      <c r="Q124" s="2">
        <f t="shared" si="14"/>
        <v>163.71156378866215</v>
      </c>
      <c r="R124" s="4">
        <f t="shared" si="19"/>
        <v>9.1374761978719299E-2</v>
      </c>
      <c r="S124" s="4">
        <v>4.4999999999999998E-2</v>
      </c>
      <c r="T124" s="4">
        <f t="shared" si="20"/>
        <v>8.1286320147059943E-2</v>
      </c>
      <c r="U124">
        <f t="shared" si="18"/>
        <v>166.25680977747177</v>
      </c>
      <c r="V124" s="41">
        <v>1.32</v>
      </c>
      <c r="W124" s="42">
        <f t="shared" si="15"/>
        <v>1.0132000000000001</v>
      </c>
      <c r="X124" t="str">
        <f t="shared" si="16"/>
        <v>1.32</v>
      </c>
      <c r="Y124" t="str">
        <f t="shared" si="17"/>
        <v>1.81</v>
      </c>
      <c r="AA124">
        <v>41671</v>
      </c>
      <c r="AB124">
        <v>91.658389999999997</v>
      </c>
      <c r="AC124">
        <v>1227.0258100000001</v>
      </c>
      <c r="AD124">
        <v>1175.0049954590099</v>
      </c>
      <c r="AE124">
        <v>4.4272845427919635E-2</v>
      </c>
    </row>
    <row r="125" spans="1:31" x14ac:dyDescent="0.25">
      <c r="A125" s="1">
        <v>42461</v>
      </c>
      <c r="B125" s="4">
        <v>0.14249999999999999</v>
      </c>
      <c r="C125" s="16">
        <f t="shared" si="11"/>
        <v>322.65974172190806</v>
      </c>
      <c r="D125" s="4"/>
      <c r="G125" s="4">
        <v>-3.5749196767561713E-2</v>
      </c>
      <c r="I125" s="1">
        <v>41730</v>
      </c>
      <c r="J125">
        <v>58.445529999999998</v>
      </c>
      <c r="K125" s="16">
        <f t="shared" si="12"/>
        <v>705.33549999999991</v>
      </c>
      <c r="L125" s="16">
        <v>678.08818968647495</v>
      </c>
      <c r="M125" s="4">
        <f t="shared" si="13"/>
        <v>4.0182546647985713E-2</v>
      </c>
      <c r="O125" s="1">
        <v>42095</v>
      </c>
      <c r="P125" s="2">
        <v>0.6</v>
      </c>
      <c r="Q125" s="2">
        <f t="shared" si="14"/>
        <v>164.69383317139412</v>
      </c>
      <c r="R125" s="4">
        <f t="shared" si="19"/>
        <v>8.6192135487328514E-2</v>
      </c>
      <c r="S125" s="4">
        <v>4.4999999999999998E-2</v>
      </c>
      <c r="T125" s="4">
        <f t="shared" si="20"/>
        <v>8.1715956114139399E-2</v>
      </c>
      <c r="U125">
        <f t="shared" si="18"/>
        <v>167.43723312689184</v>
      </c>
      <c r="V125" s="41">
        <v>0.71</v>
      </c>
      <c r="W125" s="42">
        <f t="shared" si="15"/>
        <v>1.0071000000000001</v>
      </c>
      <c r="X125" t="str">
        <f t="shared" si="16"/>
        <v>0.71</v>
      </c>
      <c r="Y125" t="str">
        <f t="shared" si="17"/>
        <v>0.6</v>
      </c>
      <c r="AA125" t="s">
        <v>43</v>
      </c>
      <c r="AB125">
        <v>95.127020000000002</v>
      </c>
      <c r="AC125">
        <v>1223.8173299999999</v>
      </c>
      <c r="AD125">
        <v>1174.8785104765</v>
      </c>
      <c r="AE125">
        <v>4.1654366036239426E-2</v>
      </c>
    </row>
    <row r="126" spans="1:31" x14ac:dyDescent="0.25">
      <c r="A126" s="1">
        <v>42491</v>
      </c>
      <c r="B126" s="4">
        <v>0.14249999999999999</v>
      </c>
      <c r="C126" s="16">
        <f t="shared" si="11"/>
        <v>326.49132615485576</v>
      </c>
      <c r="D126" s="4"/>
      <c r="G126" s="4">
        <v>-3.8274473526375065E-2</v>
      </c>
      <c r="I126" s="1">
        <v>41760</v>
      </c>
      <c r="J126">
        <v>60.115400000000001</v>
      </c>
      <c r="K126" s="16">
        <f t="shared" si="12"/>
        <v>711.41197999999997</v>
      </c>
      <c r="L126" s="16">
        <v>680.38557123142198</v>
      </c>
      <c r="M126" s="4">
        <f t="shared" si="13"/>
        <v>4.5601215076362736E-2</v>
      </c>
      <c r="O126" s="1">
        <v>42125</v>
      </c>
      <c r="P126" s="2">
        <v>0.97</v>
      </c>
      <c r="Q126" s="2">
        <f t="shared" si="14"/>
        <v>166.29136335315664</v>
      </c>
      <c r="R126" s="4">
        <f t="shared" si="19"/>
        <v>8.856396943082423E-2</v>
      </c>
      <c r="S126" s="4">
        <v>4.4999999999999998E-2</v>
      </c>
      <c r="T126" s="4">
        <f t="shared" si="20"/>
        <v>8.4730892085789655E-2</v>
      </c>
      <c r="U126">
        <f t="shared" si="18"/>
        <v>168.67626865203084</v>
      </c>
      <c r="V126" s="41">
        <v>0.74</v>
      </c>
      <c r="W126" s="42">
        <f t="shared" si="15"/>
        <v>1.0074000000000001</v>
      </c>
      <c r="X126" t="str">
        <f t="shared" si="16"/>
        <v>0.74</v>
      </c>
      <c r="Y126" t="str">
        <f t="shared" si="17"/>
        <v>0.97</v>
      </c>
      <c r="AA126">
        <v>41730</v>
      </c>
      <c r="AB126">
        <v>98.07535</v>
      </c>
      <c r="AC126">
        <v>1226.76566</v>
      </c>
      <c r="AD126">
        <v>1174.2638695333701</v>
      </c>
      <c r="AE126">
        <v>4.471038565419979E-2</v>
      </c>
    </row>
    <row r="127" spans="1:31" x14ac:dyDescent="0.25">
      <c r="A127" s="1">
        <v>42522</v>
      </c>
      <c r="B127" s="4">
        <v>0.14249999999999999</v>
      </c>
      <c r="C127" s="16">
        <f t="shared" si="11"/>
        <v>330.3684106529447</v>
      </c>
      <c r="D127" s="4"/>
      <c r="G127" s="4">
        <v>-3.7981476944720663E-2</v>
      </c>
      <c r="I127" s="1">
        <v>41791</v>
      </c>
      <c r="J127">
        <v>53.575069999999997</v>
      </c>
      <c r="K127" s="16">
        <f t="shared" si="12"/>
        <v>710.62342999999998</v>
      </c>
      <c r="L127" s="16">
        <v>682.47351386598302</v>
      </c>
      <c r="M127" s="4">
        <f t="shared" si="13"/>
        <v>4.1246899054817751E-2</v>
      </c>
      <c r="O127" s="1">
        <v>42156</v>
      </c>
      <c r="P127" s="2">
        <v>0.75</v>
      </c>
      <c r="Q127" s="2">
        <f t="shared" si="14"/>
        <v>167.53854857830532</v>
      </c>
      <c r="R127" s="4">
        <f t="shared" si="19"/>
        <v>9.3556884237267601E-2</v>
      </c>
      <c r="S127" s="4">
        <v>4.4999999999999998E-2</v>
      </c>
      <c r="T127" s="4">
        <f t="shared" si="20"/>
        <v>8.8944488180545234E-2</v>
      </c>
      <c r="U127">
        <f t="shared" si="18"/>
        <v>170.00881117438189</v>
      </c>
      <c r="V127" s="41">
        <v>0.79</v>
      </c>
      <c r="W127" s="42">
        <f t="shared" si="15"/>
        <v>1.0079</v>
      </c>
      <c r="X127" t="str">
        <f t="shared" si="16"/>
        <v>0.79</v>
      </c>
      <c r="Y127" t="str">
        <f t="shared" si="17"/>
        <v>0.75</v>
      </c>
      <c r="AA127">
        <v>41760</v>
      </c>
      <c r="AB127">
        <v>100.41667</v>
      </c>
      <c r="AC127">
        <v>1231.8818800000001</v>
      </c>
      <c r="AD127">
        <v>1173.1588072424299</v>
      </c>
      <c r="AE127">
        <v>5.0055518822385014E-2</v>
      </c>
    </row>
    <row r="128" spans="1:31" x14ac:dyDescent="0.25">
      <c r="A128" s="1">
        <v>42552</v>
      </c>
      <c r="B128" s="4">
        <v>0.14249999999999999</v>
      </c>
      <c r="C128" s="16">
        <f t="shared" si="11"/>
        <v>334.29153552944842</v>
      </c>
      <c r="D128" s="4"/>
      <c r="G128" s="4">
        <v>-4.0543414953456453E-2</v>
      </c>
      <c r="I128" s="1">
        <v>41821</v>
      </c>
      <c r="J128">
        <v>58.306379999999997</v>
      </c>
      <c r="K128" s="16">
        <f t="shared" si="12"/>
        <v>711.41198999999995</v>
      </c>
      <c r="L128" s="16">
        <v>684.35276350109802</v>
      </c>
      <c r="M128" s="4">
        <f t="shared" si="13"/>
        <v>3.9539880514939292E-2</v>
      </c>
      <c r="O128" s="1">
        <v>42186</v>
      </c>
      <c r="P128" s="2">
        <v>0.81</v>
      </c>
      <c r="Q128" s="2">
        <f t="shared" si="14"/>
        <v>168.8956108217896</v>
      </c>
      <c r="R128" s="4">
        <f t="shared" si="19"/>
        <v>0.10186376311803058</v>
      </c>
      <c r="S128" s="4">
        <v>4.4999999999999998E-2</v>
      </c>
      <c r="T128" s="4">
        <f t="shared" si="20"/>
        <v>9.5586385368727544E-2</v>
      </c>
      <c r="U128">
        <f t="shared" si="18"/>
        <v>171.06286580366304</v>
      </c>
      <c r="V128" s="41">
        <v>0.62</v>
      </c>
      <c r="W128" s="42">
        <f t="shared" si="15"/>
        <v>1.0062</v>
      </c>
      <c r="X128" t="str">
        <f t="shared" si="16"/>
        <v>0.62</v>
      </c>
      <c r="Y128" t="str">
        <f t="shared" si="17"/>
        <v>0.81</v>
      </c>
      <c r="AA128">
        <v>41791</v>
      </c>
      <c r="AB128">
        <v>89.403790000000001</v>
      </c>
      <c r="AC128">
        <v>1225.5516400000001</v>
      </c>
      <c r="AD128">
        <v>1171.56470417419</v>
      </c>
      <c r="AE128">
        <v>4.6081053511990509E-2</v>
      </c>
    </row>
    <row r="129" spans="1:31" x14ac:dyDescent="0.25">
      <c r="A129" s="1">
        <v>42583</v>
      </c>
      <c r="B129" s="4">
        <v>0.14249999999999999</v>
      </c>
      <c r="C129" s="16">
        <f t="shared" si="11"/>
        <v>338.26124751386067</v>
      </c>
      <c r="D129" s="4"/>
      <c r="G129" s="4">
        <v>-4.1455347564823046E-2</v>
      </c>
      <c r="I129" s="1">
        <v>41852</v>
      </c>
      <c r="J129">
        <v>58.306379999999997</v>
      </c>
      <c r="K129" s="16">
        <f t="shared" si="12"/>
        <v>711.69030999999995</v>
      </c>
      <c r="L129" s="16">
        <v>686.02602066479699</v>
      </c>
      <c r="M129" s="4">
        <f t="shared" si="13"/>
        <v>3.7410081486898783E-2</v>
      </c>
      <c r="O129" s="1">
        <v>42217</v>
      </c>
      <c r="P129" s="2">
        <v>0.28000000000000003</v>
      </c>
      <c r="Q129" s="2">
        <f t="shared" si="14"/>
        <v>169.3685185320906</v>
      </c>
      <c r="R129" s="4">
        <f t="shared" si="19"/>
        <v>0.10329404059387026</v>
      </c>
      <c r="S129" s="4">
        <v>4.4999999999999998E-2</v>
      </c>
      <c r="T129" s="4">
        <f t="shared" si="20"/>
        <v>9.5258529093804389E-2</v>
      </c>
      <c r="U129">
        <f t="shared" si="18"/>
        <v>171.43920410843111</v>
      </c>
      <c r="V129" s="41">
        <v>0.22</v>
      </c>
      <c r="W129" s="42">
        <f t="shared" si="15"/>
        <v>1.0022</v>
      </c>
      <c r="X129" t="str">
        <f t="shared" si="16"/>
        <v>0.22</v>
      </c>
      <c r="Y129" t="str">
        <f t="shared" si="17"/>
        <v>0.28</v>
      </c>
      <c r="AA129">
        <v>41821</v>
      </c>
      <c r="AB129">
        <v>97.728489999999994</v>
      </c>
      <c r="AC129">
        <v>1221.12915</v>
      </c>
      <c r="AD129">
        <v>1169.4870188903001</v>
      </c>
      <c r="AE129">
        <v>4.4157934440949981E-2</v>
      </c>
    </row>
    <row r="130" spans="1:31" x14ac:dyDescent="0.25">
      <c r="A130" s="1">
        <v>42614</v>
      </c>
      <c r="B130" s="4">
        <v>0.14249999999999999</v>
      </c>
      <c r="C130" s="16">
        <f t="shared" si="11"/>
        <v>342.27809982808776</v>
      </c>
      <c r="D130" s="4"/>
      <c r="G130" s="4">
        <v>-4.4507173224081868E-2</v>
      </c>
      <c r="I130" s="1">
        <v>41883</v>
      </c>
      <c r="J130">
        <v>59.605159999999998</v>
      </c>
      <c r="K130" s="16">
        <f t="shared" si="12"/>
        <v>715.16921000000002</v>
      </c>
      <c r="L130" s="16">
        <v>687.49786485986897</v>
      </c>
      <c r="M130" s="4">
        <f t="shared" si="13"/>
        <v>4.0249354295480225E-2</v>
      </c>
      <c r="O130" s="1">
        <v>42248</v>
      </c>
      <c r="P130" s="2">
        <v>0.56000000000000005</v>
      </c>
      <c r="Q130" s="2">
        <f t="shared" si="14"/>
        <v>170.31698223587031</v>
      </c>
      <c r="R130" s="4">
        <f t="shared" si="19"/>
        <v>0.10494222410237608</v>
      </c>
      <c r="S130" s="4">
        <v>4.4999999999999998E-2</v>
      </c>
      <c r="T130" s="4">
        <f t="shared" si="20"/>
        <v>9.493181381218152E-2</v>
      </c>
      <c r="U130">
        <f t="shared" si="18"/>
        <v>172.36497581061664</v>
      </c>
      <c r="V130" s="41">
        <v>0.54</v>
      </c>
      <c r="W130" s="42">
        <f t="shared" si="15"/>
        <v>1.0054000000000001</v>
      </c>
      <c r="X130" t="str">
        <f t="shared" si="16"/>
        <v>0.54</v>
      </c>
      <c r="Y130" t="str">
        <f t="shared" si="17"/>
        <v>0.56</v>
      </c>
      <c r="AA130">
        <v>41852</v>
      </c>
      <c r="AB130">
        <v>98.162059999999997</v>
      </c>
      <c r="AC130">
        <v>1216.4465</v>
      </c>
      <c r="AD130">
        <v>1166.93495904517</v>
      </c>
      <c r="AE130">
        <v>4.2428706562482481E-2</v>
      </c>
    </row>
    <row r="131" spans="1:31" x14ac:dyDescent="0.25">
      <c r="A131" s="1">
        <v>42644</v>
      </c>
      <c r="B131" s="4">
        <v>0.14153225806451611</v>
      </c>
      <c r="C131" s="16">
        <f t="shared" ref="C131:C194" si="21">C130*(1+B131/12)</f>
        <v>346.31504919097949</v>
      </c>
      <c r="D131" s="4"/>
      <c r="G131" s="4">
        <v>-4.8637482217635281E-2</v>
      </c>
      <c r="I131" s="1">
        <v>41913</v>
      </c>
      <c r="J131">
        <v>62.852139999999999</v>
      </c>
      <c r="K131" s="16">
        <f t="shared" si="12"/>
        <v>716.83907999999997</v>
      </c>
      <c r="L131" s="16">
        <v>688.77465780988905</v>
      </c>
      <c r="M131" s="4">
        <f t="shared" si="13"/>
        <v>4.0745433752379823E-2</v>
      </c>
      <c r="O131" s="1">
        <v>42278</v>
      </c>
      <c r="P131" s="2">
        <v>0.73</v>
      </c>
      <c r="Q131" s="2">
        <f t="shared" si="14"/>
        <v>171.56029620619219</v>
      </c>
      <c r="R131" s="4">
        <f t="shared" si="19"/>
        <v>0.10483254153099431</v>
      </c>
      <c r="S131" s="4">
        <v>4.4999999999999998E-2</v>
      </c>
      <c r="T131" s="4">
        <f t="shared" si="20"/>
        <v>9.9293223148218868E-2</v>
      </c>
      <c r="U131">
        <f t="shared" si="18"/>
        <v>173.77836861226371</v>
      </c>
      <c r="V131" s="41">
        <v>0.82</v>
      </c>
      <c r="W131" s="42">
        <f t="shared" si="15"/>
        <v>1.0082</v>
      </c>
      <c r="X131" t="str">
        <f t="shared" si="16"/>
        <v>0.82</v>
      </c>
      <c r="Y131" t="str">
        <f t="shared" si="17"/>
        <v>0.73</v>
      </c>
      <c r="AA131">
        <v>41883</v>
      </c>
      <c r="AB131">
        <v>100.41667</v>
      </c>
      <c r="AC131">
        <v>1218.00738</v>
      </c>
      <c r="AD131">
        <v>1163.9213185523499</v>
      </c>
      <c r="AE131">
        <v>4.6468829624085488E-2</v>
      </c>
    </row>
    <row r="132" spans="1:31" x14ac:dyDescent="0.25">
      <c r="A132" s="1">
        <v>42675</v>
      </c>
      <c r="B132" s="4">
        <v>0.14000000000000001</v>
      </c>
      <c r="C132" s="16">
        <f t="shared" si="21"/>
        <v>350.35539143154097</v>
      </c>
      <c r="D132" s="4"/>
      <c r="G132" s="4">
        <v>-5.0621049581373277E-2</v>
      </c>
      <c r="I132" s="1">
        <v>41944</v>
      </c>
      <c r="J132">
        <v>63.501530000000002</v>
      </c>
      <c r="K132" s="16">
        <f t="shared" si="12"/>
        <v>718.50894999999991</v>
      </c>
      <c r="L132" s="16">
        <v>689.86468291448205</v>
      </c>
      <c r="M132" s="4">
        <f t="shared" si="13"/>
        <v>4.152157342582604E-2</v>
      </c>
      <c r="O132" s="1">
        <v>42309</v>
      </c>
      <c r="P132" s="2">
        <v>1.03</v>
      </c>
      <c r="Q132" s="2">
        <f t="shared" si="14"/>
        <v>173.32736725711598</v>
      </c>
      <c r="R132" s="4">
        <f t="shared" si="19"/>
        <v>0.11187600030756406</v>
      </c>
      <c r="S132" s="4">
        <v>4.4999999999999998E-2</v>
      </c>
      <c r="T132" s="4">
        <f t="shared" si="20"/>
        <v>0.10476179952444098</v>
      </c>
      <c r="U132">
        <f t="shared" si="18"/>
        <v>175.53353013524756</v>
      </c>
      <c r="V132" s="41">
        <v>1.01</v>
      </c>
      <c r="W132" s="42">
        <f t="shared" si="15"/>
        <v>1.0101</v>
      </c>
      <c r="X132" t="str">
        <f t="shared" si="16"/>
        <v>1.01</v>
      </c>
      <c r="Y132" t="str">
        <f t="shared" si="17"/>
        <v>1.03</v>
      </c>
      <c r="AA132">
        <v>41913</v>
      </c>
      <c r="AB132">
        <v>104.75245</v>
      </c>
      <c r="AC132">
        <v>1215.9261999999999</v>
      </c>
      <c r="AD132">
        <v>1160.4623296268101</v>
      </c>
      <c r="AE132">
        <v>4.779463232643346E-2</v>
      </c>
    </row>
    <row r="133" spans="1:31" x14ac:dyDescent="0.25">
      <c r="A133" s="1">
        <v>42705</v>
      </c>
      <c r="B133" s="4">
        <v>0.13750000000000001</v>
      </c>
      <c r="C133" s="16">
        <f t="shared" si="21"/>
        <v>354.36988029169402</v>
      </c>
      <c r="D133" s="4">
        <f>C133/C121-1</f>
        <v>0.151382129254644</v>
      </c>
      <c r="G133" s="4">
        <v>-5.5589462403700114E-2</v>
      </c>
      <c r="I133" s="1">
        <v>41974</v>
      </c>
      <c r="J133">
        <v>75.886420000000001</v>
      </c>
      <c r="K133" s="16">
        <f t="shared" si="12"/>
        <v>719.15833999999995</v>
      </c>
      <c r="L133" s="16">
        <v>690.77817255537298</v>
      </c>
      <c r="M133" s="20">
        <f t="shared" si="13"/>
        <v>4.1084343096194194E-2</v>
      </c>
      <c r="O133" s="1">
        <v>42339</v>
      </c>
      <c r="P133" s="2">
        <v>0.82</v>
      </c>
      <c r="Q133" s="2">
        <f t="shared" si="14"/>
        <v>174.74865166862432</v>
      </c>
      <c r="R133" s="4">
        <f t="shared" si="19"/>
        <v>0.11209661062508536</v>
      </c>
      <c r="S133" s="4">
        <v>4.4999999999999998E-2</v>
      </c>
      <c r="T133" s="4">
        <f t="shared" si="20"/>
        <v>0.10673497995621717</v>
      </c>
      <c r="U133">
        <f t="shared" si="18"/>
        <v>177.21865202454595</v>
      </c>
      <c r="V133" s="41">
        <v>0.96</v>
      </c>
      <c r="W133" s="42">
        <f t="shared" si="15"/>
        <v>1.0096000000000001</v>
      </c>
      <c r="X133" t="str">
        <f t="shared" si="16"/>
        <v>0.96</v>
      </c>
      <c r="Y133" t="str">
        <f t="shared" si="17"/>
        <v>0.82</v>
      </c>
      <c r="AA133">
        <v>41944</v>
      </c>
      <c r="AB133">
        <v>105.61960999999999</v>
      </c>
      <c r="AC133">
        <v>1213.6715999999999</v>
      </c>
      <c r="AD133">
        <v>1156.5779804600299</v>
      </c>
      <c r="AE133">
        <v>4.9364262941665994E-2</v>
      </c>
    </row>
    <row r="134" spans="1:31" x14ac:dyDescent="0.25">
      <c r="A134" s="1">
        <v>42736</v>
      </c>
      <c r="B134" s="4">
        <v>0.13266129032258064</v>
      </c>
      <c r="C134" s="16">
        <f t="shared" si="21"/>
        <v>358.28747742260686</v>
      </c>
      <c r="D134" s="4"/>
      <c r="G134" s="4">
        <v>-4.9561272197042559E-2</v>
      </c>
      <c r="I134" s="1">
        <v>42005</v>
      </c>
      <c r="J134">
        <v>57.05397</v>
      </c>
      <c r="K134" s="16">
        <f t="shared" si="12"/>
        <v>717.21015000000011</v>
      </c>
      <c r="L134" s="16">
        <v>691.52734837241405</v>
      </c>
      <c r="M134" s="4">
        <f t="shared" si="13"/>
        <v>3.7139242125468166E-2</v>
      </c>
      <c r="O134" s="1">
        <v>42370</v>
      </c>
      <c r="P134" s="2">
        <v>1.56</v>
      </c>
      <c r="Q134" s="2">
        <f t="shared" si="14"/>
        <v>177.47473063465486</v>
      </c>
      <c r="R134" s="4">
        <f t="shared" si="19"/>
        <v>0.11616297830895994</v>
      </c>
      <c r="S134" s="4">
        <v>4.4999999999999998E-2</v>
      </c>
      <c r="T134" s="4">
        <f t="shared" si="20"/>
        <v>0.10706293382226506</v>
      </c>
      <c r="U134">
        <f t="shared" si="18"/>
        <v>179.46932890525767</v>
      </c>
      <c r="V134" s="41">
        <v>1.27</v>
      </c>
      <c r="W134" s="42">
        <f t="shared" si="15"/>
        <v>1.0126999999999999</v>
      </c>
      <c r="X134" t="str">
        <f t="shared" si="16"/>
        <v>1.27</v>
      </c>
      <c r="Y134" t="str">
        <f t="shared" si="17"/>
        <v>1.56</v>
      </c>
      <c r="AA134">
        <v>41974</v>
      </c>
      <c r="AB134">
        <v>125.21733</v>
      </c>
      <c r="AC134">
        <v>1208.7288099999998</v>
      </c>
      <c r="AD134">
        <v>1152.2921109011399</v>
      </c>
      <c r="AE134">
        <v>4.897777097052592E-2</v>
      </c>
    </row>
    <row r="135" spans="1:31" x14ac:dyDescent="0.25">
      <c r="A135" s="1">
        <v>42767</v>
      </c>
      <c r="B135" s="4">
        <v>0.12839285714285714</v>
      </c>
      <c r="C135" s="16">
        <f t="shared" si="21"/>
        <v>362.12094016467313</v>
      </c>
      <c r="D135" s="4"/>
      <c r="G135" s="4">
        <v>-5.0080050116882158E-2</v>
      </c>
      <c r="I135" s="1">
        <v>42036</v>
      </c>
      <c r="J135">
        <v>49.122079999999997</v>
      </c>
      <c r="K135" s="16">
        <f t="shared" si="12"/>
        <v>712.98909000000003</v>
      </c>
      <c r="L135" s="16">
        <v>692.12640296569896</v>
      </c>
      <c r="M135" s="4">
        <f t="shared" si="13"/>
        <v>3.0142885670747931E-2</v>
      </c>
      <c r="O135" s="1">
        <v>42401</v>
      </c>
      <c r="P135" s="2">
        <v>0.97</v>
      </c>
      <c r="Q135" s="2">
        <f t="shared" si="14"/>
        <v>179.19623552181102</v>
      </c>
      <c r="R135" s="4">
        <f t="shared" si="19"/>
        <v>0.11439707228177287</v>
      </c>
      <c r="S135" s="4">
        <v>4.4999999999999998E-2</v>
      </c>
      <c r="T135" s="4">
        <f t="shared" si="20"/>
        <v>0.1035630312454705</v>
      </c>
      <c r="U135">
        <f t="shared" si="18"/>
        <v>181.08455286540496</v>
      </c>
      <c r="V135" s="41">
        <v>0.9</v>
      </c>
      <c r="W135" s="42">
        <f t="shared" si="15"/>
        <v>1.0089999999999999</v>
      </c>
      <c r="X135" t="str">
        <f t="shared" si="16"/>
        <v>0.9</v>
      </c>
      <c r="Y135" t="str">
        <f t="shared" si="17"/>
        <v>0.97</v>
      </c>
      <c r="AA135">
        <v>42005</v>
      </c>
      <c r="AB135">
        <v>93.566140000000004</v>
      </c>
      <c r="AC135">
        <v>1200.1439699999999</v>
      </c>
      <c r="AD135">
        <v>1147.6325256339601</v>
      </c>
      <c r="AE135">
        <v>4.5756322858688664E-2</v>
      </c>
    </row>
    <row r="136" spans="1:31" x14ac:dyDescent="0.25">
      <c r="A136" s="1">
        <v>42795</v>
      </c>
      <c r="B136" s="4">
        <v>0.1225</v>
      </c>
      <c r="C136" s="16">
        <f t="shared" si="21"/>
        <v>365.8175914288542</v>
      </c>
      <c r="D136" s="4"/>
      <c r="G136" s="4">
        <v>-4.5413036454453777E-2</v>
      </c>
      <c r="I136" s="1">
        <v>42064</v>
      </c>
      <c r="J136">
        <v>58.49192</v>
      </c>
      <c r="K136" s="16">
        <f t="shared" si="12"/>
        <v>715.26198000000011</v>
      </c>
      <c r="L136" s="16">
        <v>692.59131245279605</v>
      </c>
      <c r="M136" s="4">
        <f t="shared" si="13"/>
        <v>3.2733109901301564E-2</v>
      </c>
      <c r="O136" s="1">
        <v>42430</v>
      </c>
      <c r="P136" s="2">
        <v>0.67</v>
      </c>
      <c r="Q136" s="2">
        <f t="shared" si="14"/>
        <v>180.39685029980714</v>
      </c>
      <c r="R136" s="4">
        <f t="shared" si="19"/>
        <v>0.10191880234364081</v>
      </c>
      <c r="S136" s="4">
        <v>4.4999999999999998E-2</v>
      </c>
      <c r="T136" s="4">
        <f t="shared" si="20"/>
        <v>9.386927781269816E-2</v>
      </c>
      <c r="U136">
        <f t="shared" si="18"/>
        <v>181.86321644272618</v>
      </c>
      <c r="V136" s="41">
        <v>0.43</v>
      </c>
      <c r="W136" s="42">
        <f t="shared" si="15"/>
        <v>1.0043</v>
      </c>
      <c r="X136" t="str">
        <f t="shared" si="16"/>
        <v>0.43</v>
      </c>
      <c r="Y136" t="str">
        <f t="shared" si="17"/>
        <v>0.67</v>
      </c>
      <c r="AA136">
        <v>42036</v>
      </c>
      <c r="AB136">
        <v>78.911199999999994</v>
      </c>
      <c r="AC136">
        <v>1187.3967799999998</v>
      </c>
      <c r="AD136">
        <v>1142.63094855754</v>
      </c>
      <c r="AE136">
        <v>3.9177856594005508E-2</v>
      </c>
    </row>
    <row r="137" spans="1:31" x14ac:dyDescent="0.25">
      <c r="A137" s="1">
        <v>42826</v>
      </c>
      <c r="B137" s="4">
        <v>0.11650000000000001</v>
      </c>
      <c r="C137" s="16">
        <f t="shared" si="21"/>
        <v>369.36907054564267</v>
      </c>
      <c r="D137" s="4"/>
      <c r="G137" s="4">
        <v>-4.207288459055239E-2</v>
      </c>
      <c r="I137" s="1">
        <v>42095</v>
      </c>
      <c r="J137">
        <v>55.430480000000003</v>
      </c>
      <c r="K137" s="16">
        <f t="shared" si="12"/>
        <v>712.24693000000002</v>
      </c>
      <c r="L137" s="16">
        <v>692.93950181217701</v>
      </c>
      <c r="M137" s="4">
        <f t="shared" si="13"/>
        <v>2.7863079153851347E-2</v>
      </c>
      <c r="O137" s="1">
        <v>42461</v>
      </c>
      <c r="P137" s="2">
        <v>0.94</v>
      </c>
      <c r="Q137" s="2">
        <f t="shared" si="14"/>
        <v>182.09258069262535</v>
      </c>
      <c r="R137" s="4">
        <f t="shared" si="19"/>
        <v>0.10564298119848026</v>
      </c>
      <c r="S137" s="4">
        <v>4.4999999999999998E-2</v>
      </c>
      <c r="T137" s="4">
        <f t="shared" si="20"/>
        <v>9.2783120253555174E-2</v>
      </c>
      <c r="U137">
        <f t="shared" si="18"/>
        <v>182.97258206302681</v>
      </c>
      <c r="V137" s="41">
        <v>0.61</v>
      </c>
      <c r="W137" s="42">
        <f t="shared" si="15"/>
        <v>1.0061</v>
      </c>
      <c r="X137" t="str">
        <f t="shared" si="16"/>
        <v>0.61</v>
      </c>
      <c r="Y137" t="str">
        <f t="shared" si="17"/>
        <v>0.94</v>
      </c>
      <c r="AA137" t="s">
        <v>44</v>
      </c>
      <c r="AB137">
        <v>93.132559999999998</v>
      </c>
      <c r="AC137">
        <v>1185.4023199999997</v>
      </c>
      <c r="AD137">
        <v>1137.32275019901</v>
      </c>
      <c r="AE137">
        <v>4.2274341028152904E-2</v>
      </c>
    </row>
    <row r="138" spans="1:31" x14ac:dyDescent="0.25">
      <c r="A138" s="1">
        <v>42856</v>
      </c>
      <c r="B138" s="4">
        <v>0.1125</v>
      </c>
      <c r="C138" s="16">
        <f t="shared" si="21"/>
        <v>372.83190558200806</v>
      </c>
      <c r="D138" s="4"/>
      <c r="G138" s="4">
        <v>-3.6791898209964626E-2</v>
      </c>
      <c r="I138" s="1">
        <v>42125</v>
      </c>
      <c r="J138">
        <v>55.940719999999999</v>
      </c>
      <c r="K138" s="16">
        <f t="shared" si="12"/>
        <v>708.07224999999994</v>
      </c>
      <c r="L138" s="16">
        <v>693.18997023672603</v>
      </c>
      <c r="M138" s="4">
        <f t="shared" si="13"/>
        <v>2.1469265861119687E-2</v>
      </c>
      <c r="O138" s="1">
        <v>42491</v>
      </c>
      <c r="P138" s="2">
        <v>0.92</v>
      </c>
      <c r="Q138" s="2">
        <f t="shared" si="14"/>
        <v>183.76783243499753</v>
      </c>
      <c r="R138" s="4">
        <f t="shared" si="19"/>
        <v>0.10509547056106405</v>
      </c>
      <c r="S138" s="4">
        <v>4.4999999999999998E-2</v>
      </c>
      <c r="T138" s="4">
        <f t="shared" si="20"/>
        <v>9.3217022624114465E-2</v>
      </c>
      <c r="U138">
        <f t="shared" si="18"/>
        <v>184.39976820311841</v>
      </c>
      <c r="V138" s="41">
        <v>0.78</v>
      </c>
      <c r="W138" s="42">
        <f t="shared" si="15"/>
        <v>1.0078</v>
      </c>
      <c r="X138" t="str">
        <f t="shared" si="16"/>
        <v>0.78</v>
      </c>
      <c r="Y138" t="str">
        <f t="shared" si="17"/>
        <v>0.92</v>
      </c>
      <c r="AA138">
        <v>42095</v>
      </c>
      <c r="AB138">
        <v>87.062470000000005</v>
      </c>
      <c r="AC138">
        <v>1174.3894399999999</v>
      </c>
      <c r="AD138">
        <v>1131.7464098237699</v>
      </c>
      <c r="AE138">
        <v>3.7678962182765112E-2</v>
      </c>
    </row>
    <row r="139" spans="1:31" x14ac:dyDescent="0.25">
      <c r="A139" s="1">
        <v>42887</v>
      </c>
      <c r="B139" s="4">
        <v>0.10249999999999999</v>
      </c>
      <c r="C139" s="16">
        <f t="shared" si="21"/>
        <v>376.01651144218772</v>
      </c>
      <c r="D139" s="4"/>
      <c r="G139" s="4">
        <v>-3.2625437915652991E-2</v>
      </c>
      <c r="I139" s="1">
        <v>42156</v>
      </c>
      <c r="J139">
        <v>54.131689999999999</v>
      </c>
      <c r="K139" s="16">
        <f t="shared" si="12"/>
        <v>708.62887000000012</v>
      </c>
      <c r="L139" s="16">
        <v>693.36305792614905</v>
      </c>
      <c r="M139" s="4">
        <f t="shared" si="13"/>
        <v>2.2017054268093191E-2</v>
      </c>
      <c r="O139" s="1">
        <v>42522</v>
      </c>
      <c r="P139" s="2">
        <v>-0.02</v>
      </c>
      <c r="Q139" s="2">
        <f t="shared" si="14"/>
        <v>183.73107886851054</v>
      </c>
      <c r="R139" s="4">
        <f t="shared" si="19"/>
        <v>9.664957961980325E-2</v>
      </c>
      <c r="S139" s="4">
        <v>4.4999999999999998E-2</v>
      </c>
      <c r="T139" s="4">
        <f t="shared" si="20"/>
        <v>8.8444570099512676E-2</v>
      </c>
      <c r="U139">
        <f t="shared" si="18"/>
        <v>185.04516739182932</v>
      </c>
      <c r="V139" s="41">
        <v>0.35</v>
      </c>
      <c r="W139" s="42">
        <f t="shared" si="15"/>
        <v>1.0035000000000001</v>
      </c>
      <c r="X139" t="str">
        <f t="shared" si="16"/>
        <v>0.35</v>
      </c>
      <c r="Y139" t="str">
        <f t="shared" si="17"/>
        <v>-0.02</v>
      </c>
      <c r="AA139">
        <v>42125</v>
      </c>
      <c r="AB139">
        <v>87.062470000000005</v>
      </c>
      <c r="AC139">
        <v>1161.0352400000002</v>
      </c>
      <c r="AD139">
        <v>1125.94374555627</v>
      </c>
      <c r="AE139">
        <v>3.1166294570421301E-2</v>
      </c>
    </row>
    <row r="140" spans="1:31" x14ac:dyDescent="0.25">
      <c r="A140" s="1">
        <v>42917</v>
      </c>
      <c r="B140" s="4">
        <v>0.10088709677419354</v>
      </c>
      <c r="C140" s="16">
        <f t="shared" si="21"/>
        <v>379.17777929040125</v>
      </c>
      <c r="D140" s="4"/>
      <c r="G140" s="4">
        <v>-2.9103370152969626E-2</v>
      </c>
      <c r="I140" s="1">
        <v>42186</v>
      </c>
      <c r="J140">
        <v>55.801569999999998</v>
      </c>
      <c r="K140" s="16">
        <f t="shared" si="12"/>
        <v>706.1240600000001</v>
      </c>
      <c r="L140" s="16">
        <v>693.48013841554803</v>
      </c>
      <c r="M140" s="4">
        <f t="shared" si="13"/>
        <v>1.8232564833566389E-2</v>
      </c>
      <c r="O140" s="1">
        <v>42552</v>
      </c>
      <c r="P140" s="2">
        <v>0.56999999999999995</v>
      </c>
      <c r="Q140" s="2">
        <f t="shared" si="14"/>
        <v>184.77834601806106</v>
      </c>
      <c r="R140" s="4">
        <f t="shared" si="19"/>
        <v>9.4038768201206491E-2</v>
      </c>
      <c r="S140" s="4">
        <v>4.4999999999999998E-2</v>
      </c>
      <c r="T140" s="4">
        <f t="shared" si="20"/>
        <v>8.7362832303747195E-2</v>
      </c>
      <c r="U140">
        <f t="shared" si="18"/>
        <v>186.00740226226685</v>
      </c>
      <c r="V140" s="41">
        <v>0.52</v>
      </c>
      <c r="W140" s="42">
        <f t="shared" si="15"/>
        <v>1.0052000000000001</v>
      </c>
      <c r="X140" t="str">
        <f t="shared" si="16"/>
        <v>0.52</v>
      </c>
      <c r="Y140" t="str">
        <f t="shared" si="17"/>
        <v>0.57</v>
      </c>
      <c r="AA140">
        <v>42156</v>
      </c>
      <c r="AB140">
        <v>84.027420000000006</v>
      </c>
      <c r="AC140">
        <v>1155.6588700000002</v>
      </c>
      <c r="AD140">
        <v>1119.95953684247</v>
      </c>
      <c r="AE140">
        <v>3.1875556199269676E-2</v>
      </c>
    </row>
    <row r="141" spans="1:31" x14ac:dyDescent="0.25">
      <c r="A141" s="1">
        <v>42948</v>
      </c>
      <c r="B141" s="4">
        <v>9.2499999999999999E-2</v>
      </c>
      <c r="C141" s="16">
        <f t="shared" si="21"/>
        <v>382.1006080057648</v>
      </c>
      <c r="D141" s="4"/>
      <c r="G141" s="4">
        <v>-2.1878163008220854E-2</v>
      </c>
      <c r="I141" s="1">
        <v>42217</v>
      </c>
      <c r="J141">
        <v>54.641930000000002</v>
      </c>
      <c r="K141" s="16">
        <f t="shared" si="12"/>
        <v>702.45961</v>
      </c>
      <c r="L141" s="16">
        <v>693.56364544433995</v>
      </c>
      <c r="M141" s="4">
        <f t="shared" si="13"/>
        <v>1.2826457404584313E-2</v>
      </c>
      <c r="O141" s="1">
        <v>42583</v>
      </c>
      <c r="P141" s="2">
        <v>0.37</v>
      </c>
      <c r="Q141" s="2">
        <f t="shared" si="14"/>
        <v>185.46202589832788</v>
      </c>
      <c r="R141" s="4">
        <f t="shared" si="19"/>
        <v>9.5020653812875056E-2</v>
      </c>
      <c r="S141" s="4">
        <v>4.4999999999999998E-2</v>
      </c>
      <c r="T141" s="4">
        <f t="shared" si="20"/>
        <v>8.9749779251530049E-2</v>
      </c>
      <c r="U141">
        <f t="shared" si="18"/>
        <v>186.82583483222081</v>
      </c>
      <c r="V141" s="41">
        <v>0.44</v>
      </c>
      <c r="W141" s="42">
        <f t="shared" si="15"/>
        <v>1.0044</v>
      </c>
      <c r="X141" t="str">
        <f t="shared" si="16"/>
        <v>0.44</v>
      </c>
      <c r="Y141" t="str">
        <f t="shared" si="17"/>
        <v>0.37</v>
      </c>
      <c r="AA141">
        <v>42186</v>
      </c>
      <c r="AB141">
        <v>85.76173</v>
      </c>
      <c r="AC141">
        <v>1143.69211</v>
      </c>
      <c r="AD141">
        <v>1113.84100003768</v>
      </c>
      <c r="AE141">
        <v>2.6800153667633077E-2</v>
      </c>
    </row>
    <row r="142" spans="1:31" x14ac:dyDescent="0.25">
      <c r="A142" s="1">
        <v>42979</v>
      </c>
      <c r="B142" s="4">
        <v>8.483333333333333E-2</v>
      </c>
      <c r="C142" s="16">
        <f t="shared" si="21"/>
        <v>384.80184702624996</v>
      </c>
      <c r="D142" s="4"/>
      <c r="G142" s="4">
        <v>-1.4114096777251974E-2</v>
      </c>
      <c r="I142" s="1">
        <v>42248</v>
      </c>
      <c r="J142">
        <v>53.343139999999998</v>
      </c>
      <c r="K142" s="16">
        <f t="shared" ref="K142:K205" si="22">SUM(J131:J142)</f>
        <v>696.19758999999988</v>
      </c>
      <c r="L142" s="16">
        <v>693.63689052010398</v>
      </c>
      <c r="M142" s="4">
        <f t="shared" ref="M142:M205" si="23">(K142-L142)/L142</f>
        <v>3.6917002467614347E-3</v>
      </c>
      <c r="O142" s="1">
        <v>42614</v>
      </c>
      <c r="P142" s="2">
        <v>0.19</v>
      </c>
      <c r="Q142" s="2">
        <f t="shared" si="14"/>
        <v>185.8144037475347</v>
      </c>
      <c r="R142" s="4">
        <f t="shared" si="19"/>
        <v>9.0991639871837116E-2</v>
      </c>
      <c r="S142" s="4">
        <v>4.4999999999999998E-2</v>
      </c>
      <c r="T142" s="4">
        <f t="shared" si="20"/>
        <v>8.4763854261916682E-2</v>
      </c>
      <c r="U142">
        <f t="shared" si="18"/>
        <v>186.97529550008656</v>
      </c>
      <c r="V142" s="41">
        <v>0.08</v>
      </c>
      <c r="W142" s="42">
        <f t="shared" si="15"/>
        <v>1.0007999999999999</v>
      </c>
      <c r="X142" t="str">
        <f t="shared" si="16"/>
        <v>0.08</v>
      </c>
      <c r="Y142" t="str">
        <f t="shared" si="17"/>
        <v>0.19</v>
      </c>
      <c r="AA142">
        <v>42217</v>
      </c>
      <c r="AB142">
        <v>83.507130000000004</v>
      </c>
      <c r="AC142">
        <v>1129.0371799999998</v>
      </c>
      <c r="AD142">
        <v>1107.63783061757</v>
      </c>
      <c r="AE142">
        <v>1.9319807242858873E-2</v>
      </c>
    </row>
    <row r="143" spans="1:31" x14ac:dyDescent="0.25">
      <c r="A143" s="1">
        <v>43009</v>
      </c>
      <c r="B143" s="4">
        <v>8.1048387096774199E-2</v>
      </c>
      <c r="C143" s="16">
        <f t="shared" si="21"/>
        <v>387.4008111140281</v>
      </c>
      <c r="D143" s="4"/>
      <c r="G143" s="4">
        <v>-7.1962077069116859E-3</v>
      </c>
      <c r="I143" s="1">
        <v>42278</v>
      </c>
      <c r="J143">
        <v>57.285899999999998</v>
      </c>
      <c r="K143" s="16">
        <f t="shared" si="22"/>
        <v>690.63134999999988</v>
      </c>
      <c r="L143" s="16">
        <v>693.72380295282198</v>
      </c>
      <c r="M143" s="4">
        <f t="shared" si="23"/>
        <v>-4.4577581735831089E-3</v>
      </c>
      <c r="O143" s="1">
        <v>42644</v>
      </c>
      <c r="P143" s="2">
        <v>0.25</v>
      </c>
      <c r="Q143" s="2">
        <f t="shared" ref="Q143:Q206" si="24">Q142*(1+P143/100)</f>
        <v>186.27893975690353</v>
      </c>
      <c r="R143" s="4">
        <f t="shared" si="19"/>
        <v>8.5792831303004524E-2</v>
      </c>
      <c r="S143" s="4">
        <v>4.4999999999999998E-2</v>
      </c>
      <c r="T143" s="4">
        <f t="shared" si="20"/>
        <v>7.8738583895058278E-2</v>
      </c>
      <c r="U143">
        <f t="shared" si="18"/>
        <v>187.46143126838678</v>
      </c>
      <c r="V143" s="41">
        <v>0.26</v>
      </c>
      <c r="W143" s="42">
        <f t="shared" ref="W143:W206" si="25">1+V143/100</f>
        <v>1.0025999999999999</v>
      </c>
      <c r="X143" t="str">
        <f t="shared" ref="X143:X206" si="26">SUBSTITUTE(V143,",",".")</f>
        <v>0.26</v>
      </c>
      <c r="Y143" t="str">
        <f t="shared" ref="Y143:Y206" si="27">SUBSTITUTE(P143,",",".")</f>
        <v>0.25</v>
      </c>
      <c r="AA143">
        <v>42248</v>
      </c>
      <c r="AB143">
        <v>81.339240000000004</v>
      </c>
      <c r="AC143">
        <v>1109.95975</v>
      </c>
      <c r="AD143">
        <v>1101.4017970515499</v>
      </c>
      <c r="AE143">
        <v>7.7700553706737049E-3</v>
      </c>
    </row>
    <row r="144" spans="1:31" x14ac:dyDescent="0.25">
      <c r="A144" s="1">
        <v>43040</v>
      </c>
      <c r="B144" s="4">
        <v>7.4999999999999997E-2</v>
      </c>
      <c r="C144" s="16">
        <f t="shared" si="21"/>
        <v>389.82206618349079</v>
      </c>
      <c r="D144" s="4"/>
      <c r="G144" s="4">
        <v>2.8212734366913975E-3</v>
      </c>
      <c r="I144" s="1">
        <v>42309</v>
      </c>
      <c r="J144">
        <v>55.801569999999998</v>
      </c>
      <c r="K144" s="16">
        <f t="shared" si="22"/>
        <v>682.93138999999985</v>
      </c>
      <c r="L144" s="16">
        <v>693.848490046189</v>
      </c>
      <c r="M144" s="4">
        <f t="shared" si="23"/>
        <v>-1.5734126690197747E-2</v>
      </c>
      <c r="O144" s="1">
        <v>42675</v>
      </c>
      <c r="P144" s="2">
        <v>0.37</v>
      </c>
      <c r="Q144" s="2">
        <f t="shared" si="24"/>
        <v>186.96817183400407</v>
      </c>
      <c r="R144" s="4">
        <f t="shared" si="19"/>
        <v>7.8699658298352571E-2</v>
      </c>
      <c r="S144" s="4">
        <v>4.4999999999999998E-2</v>
      </c>
      <c r="T144" s="4">
        <f t="shared" si="20"/>
        <v>6.987458008718872E-2</v>
      </c>
      <c r="U144">
        <f t="shared" ref="U144:U207" si="28">U143*W144</f>
        <v>187.79886184466989</v>
      </c>
      <c r="V144" s="41">
        <v>0.18</v>
      </c>
      <c r="W144" s="42">
        <f t="shared" si="25"/>
        <v>1.0018</v>
      </c>
      <c r="X144" t="str">
        <f t="shared" si="26"/>
        <v>0.18</v>
      </c>
      <c r="Y144" t="str">
        <f t="shared" si="27"/>
        <v>0.37</v>
      </c>
      <c r="AA144">
        <v>42278</v>
      </c>
      <c r="AB144">
        <v>87.062470000000005</v>
      </c>
      <c r="AC144">
        <v>1092.2697700000001</v>
      </c>
      <c r="AD144">
        <v>1095.1861538749699</v>
      </c>
      <c r="AE144">
        <v>-2.6629115649893145E-3</v>
      </c>
    </row>
    <row r="145" spans="1:31" x14ac:dyDescent="0.25">
      <c r="A145" s="1">
        <v>43070</v>
      </c>
      <c r="B145" s="4">
        <v>7.0967741935483872E-2</v>
      </c>
      <c r="C145" s="16">
        <f t="shared" si="21"/>
        <v>392.12746549962969</v>
      </c>
      <c r="D145" s="4">
        <f>C145/C133-1</f>
        <v>0.10654851698134205</v>
      </c>
      <c r="G145" s="4">
        <v>1.461843459153919E-2</v>
      </c>
      <c r="I145" s="1">
        <v>42339</v>
      </c>
      <c r="J145">
        <v>69.20693</v>
      </c>
      <c r="K145" s="16">
        <f t="shared" si="22"/>
        <v>676.25189999999998</v>
      </c>
      <c r="L145" s="16">
        <v>694.03484425647105</v>
      </c>
      <c r="M145" s="20">
        <f t="shared" si="23"/>
        <v>-2.5622552532678929E-2</v>
      </c>
      <c r="O145" s="1">
        <v>42705</v>
      </c>
      <c r="P145" s="2">
        <v>-0.04</v>
      </c>
      <c r="Q145" s="2">
        <f t="shared" si="24"/>
        <v>186.89338456527048</v>
      </c>
      <c r="R145" s="4">
        <f t="shared" si="19"/>
        <v>6.9498292437049525E-2</v>
      </c>
      <c r="S145" s="4">
        <v>4.4999999999999998E-2</v>
      </c>
      <c r="T145" s="4">
        <f t="shared" si="20"/>
        <v>6.2880550542244507E-2</v>
      </c>
      <c r="U145">
        <f t="shared" si="28"/>
        <v>188.36225843020387</v>
      </c>
      <c r="V145" s="41">
        <v>0.3</v>
      </c>
      <c r="W145" s="42">
        <f t="shared" si="25"/>
        <v>1.0029999999999999</v>
      </c>
      <c r="X145" t="str">
        <f t="shared" si="26"/>
        <v>0.3</v>
      </c>
      <c r="Y145" t="str">
        <f t="shared" si="27"/>
        <v>-0.04</v>
      </c>
      <c r="AA145">
        <v>42309</v>
      </c>
      <c r="AB145">
        <v>84.460999999999999</v>
      </c>
      <c r="AC145">
        <v>1071.1111599999999</v>
      </c>
      <c r="AD145">
        <v>1089.0447499254601</v>
      </c>
      <c r="AE145">
        <v>-1.6467266314527159E-2</v>
      </c>
    </row>
    <row r="146" spans="1:31" x14ac:dyDescent="0.25">
      <c r="A146" s="1">
        <v>43101</v>
      </c>
      <c r="B146" s="4">
        <v>7.0000000000000007E-2</v>
      </c>
      <c r="C146" s="16">
        <f t="shared" si="21"/>
        <v>394.41487571504422</v>
      </c>
      <c r="D146" s="4"/>
      <c r="G146" s="4">
        <v>1.5823238157445643E-2</v>
      </c>
      <c r="I146" s="1">
        <v>42370</v>
      </c>
      <c r="J146">
        <v>53.018450000000001</v>
      </c>
      <c r="K146" s="16">
        <f t="shared" si="22"/>
        <v>672.21638000000007</v>
      </c>
      <c r="L146" s="16">
        <v>694.30599981145997</v>
      </c>
      <c r="M146" s="4">
        <f t="shared" si="23"/>
        <v>-3.1815395254337964E-2</v>
      </c>
      <c r="O146" s="1">
        <v>42736</v>
      </c>
      <c r="P146" s="2">
        <v>0.18</v>
      </c>
      <c r="Q146" s="2">
        <f t="shared" si="24"/>
        <v>187.22979265748796</v>
      </c>
      <c r="R146" s="4">
        <f t="shared" si="19"/>
        <v>5.4965920995900142E-2</v>
      </c>
      <c r="S146" s="4">
        <v>4.4999999999999998E-2</v>
      </c>
      <c r="T146" s="4">
        <f t="shared" si="20"/>
        <v>5.3539544420169172E-2</v>
      </c>
      <c r="U146">
        <f t="shared" si="28"/>
        <v>189.07803501223864</v>
      </c>
      <c r="V146" s="41">
        <v>0.38</v>
      </c>
      <c r="W146" s="42">
        <f t="shared" si="25"/>
        <v>1.0038</v>
      </c>
      <c r="X146" t="str">
        <f t="shared" si="26"/>
        <v>0.38</v>
      </c>
      <c r="Y146" t="str">
        <f t="shared" si="27"/>
        <v>0.18</v>
      </c>
      <c r="AA146">
        <v>42339</v>
      </c>
      <c r="AB146">
        <v>103.45171999999999</v>
      </c>
      <c r="AC146">
        <v>1049.3455499999998</v>
      </c>
      <c r="AD146">
        <v>1083.03123151399</v>
      </c>
      <c r="AE146">
        <v>-3.1103148767834075E-2</v>
      </c>
    </row>
    <row r="147" spans="1:31" x14ac:dyDescent="0.25">
      <c r="A147" s="1">
        <v>43132</v>
      </c>
      <c r="B147" s="4">
        <v>6.8125000000000005E-2</v>
      </c>
      <c r="C147" s="16">
        <f t="shared" si="21"/>
        <v>396.65400183238484</v>
      </c>
      <c r="D147" s="4"/>
      <c r="G147" s="4">
        <v>1.709088901828747E-2</v>
      </c>
      <c r="I147" s="1">
        <v>42401</v>
      </c>
      <c r="J147">
        <v>50.838340000000002</v>
      </c>
      <c r="K147" s="16">
        <f t="shared" si="22"/>
        <v>673.93263999999999</v>
      </c>
      <c r="L147" s="16">
        <v>694.68385588031902</v>
      </c>
      <c r="M147" s="4">
        <f t="shared" si="23"/>
        <v>-2.9871452610659297E-2</v>
      </c>
      <c r="O147" s="1">
        <v>42767</v>
      </c>
      <c r="P147" s="2">
        <v>0.24</v>
      </c>
      <c r="Q147" s="2">
        <f t="shared" si="24"/>
        <v>187.67914415986593</v>
      </c>
      <c r="R147" s="4">
        <f t="shared" si="19"/>
        <v>4.7338654259968527E-2</v>
      </c>
      <c r="S147" s="4">
        <v>4.4999999999999998E-2</v>
      </c>
      <c r="T147" s="4">
        <f t="shared" si="20"/>
        <v>4.7587933515119918E-2</v>
      </c>
      <c r="U147">
        <f t="shared" si="28"/>
        <v>189.70199252777905</v>
      </c>
      <c r="V147" s="41">
        <v>0.33</v>
      </c>
      <c r="W147" s="42">
        <f t="shared" si="25"/>
        <v>1.0033000000000001</v>
      </c>
      <c r="X147" t="str">
        <f t="shared" si="26"/>
        <v>0.33</v>
      </c>
      <c r="Y147" t="str">
        <f t="shared" si="27"/>
        <v>0.24</v>
      </c>
      <c r="AA147">
        <v>42370</v>
      </c>
      <c r="AB147">
        <v>78.217479999999995</v>
      </c>
      <c r="AC147">
        <v>1033.9968899999999</v>
      </c>
      <c r="AD147">
        <v>1077.1979995633501</v>
      </c>
      <c r="AE147">
        <v>-4.0105077785942862E-2</v>
      </c>
    </row>
    <row r="148" spans="1:31" x14ac:dyDescent="0.25">
      <c r="A148" s="1">
        <v>43160</v>
      </c>
      <c r="B148" s="4">
        <v>6.6693548387096777E-2</v>
      </c>
      <c r="C148" s="16">
        <f t="shared" si="21"/>
        <v>398.8585237377302</v>
      </c>
      <c r="D148" s="4"/>
      <c r="G148" s="4">
        <v>2.0383343708854175E-2</v>
      </c>
      <c r="I148" s="1">
        <v>42430</v>
      </c>
      <c r="J148">
        <v>57.239510000000003</v>
      </c>
      <c r="K148" s="16">
        <f t="shared" si="22"/>
        <v>672.68022999999994</v>
      </c>
      <c r="L148" s="16">
        <v>695.18877788222403</v>
      </c>
      <c r="M148" s="4">
        <f t="shared" si="23"/>
        <v>-3.2377605333032862E-2</v>
      </c>
      <c r="O148" s="1">
        <v>42795</v>
      </c>
      <c r="P148" s="2">
        <v>0.24</v>
      </c>
      <c r="Q148" s="2">
        <f t="shared" si="24"/>
        <v>188.1295741058496</v>
      </c>
      <c r="R148" s="4">
        <f t="shared" si="19"/>
        <v>4.2865071054129844E-2</v>
      </c>
      <c r="S148" s="4">
        <v>4.4999999999999998E-2</v>
      </c>
      <c r="T148" s="4">
        <f t="shared" si="20"/>
        <v>4.5710348848857496E-2</v>
      </c>
      <c r="U148">
        <f t="shared" si="28"/>
        <v>190.17624750909849</v>
      </c>
      <c r="V148" s="41">
        <v>0.25</v>
      </c>
      <c r="W148" s="42">
        <f t="shared" si="25"/>
        <v>1.0024999999999999</v>
      </c>
      <c r="X148" t="str">
        <f t="shared" si="26"/>
        <v>0.25</v>
      </c>
      <c r="Y148" t="str">
        <f t="shared" si="27"/>
        <v>0.24</v>
      </c>
      <c r="AA148">
        <v>42401</v>
      </c>
      <c r="AB148">
        <v>73.534829999999999</v>
      </c>
      <c r="AC148">
        <v>1028.6205199999999</v>
      </c>
      <c r="AD148">
        <v>1071.59511571288</v>
      </c>
      <c r="AE148">
        <v>-4.0103388941159127E-2</v>
      </c>
    </row>
    <row r="149" spans="1:31" x14ac:dyDescent="0.25">
      <c r="A149" s="1">
        <v>43191</v>
      </c>
      <c r="B149" s="4">
        <v>6.5000000000000002E-2</v>
      </c>
      <c r="C149" s="16">
        <f t="shared" si="21"/>
        <v>401.01900740797623</v>
      </c>
      <c r="D149" s="4"/>
      <c r="G149" s="4">
        <v>2.1455557810677584E-2</v>
      </c>
      <c r="I149" s="1">
        <v>42461</v>
      </c>
      <c r="J149">
        <v>53.714230000000001</v>
      </c>
      <c r="K149" s="16">
        <f t="shared" si="22"/>
        <v>670.96397999999999</v>
      </c>
      <c r="L149" s="16">
        <v>695.83968999635897</v>
      </c>
      <c r="M149" s="4">
        <f t="shared" si="23"/>
        <v>-3.5749196767561713E-2</v>
      </c>
      <c r="O149" s="1">
        <v>42826</v>
      </c>
      <c r="P149" s="2">
        <v>0.22</v>
      </c>
      <c r="Q149" s="2">
        <f t="shared" si="24"/>
        <v>188.54345916888246</v>
      </c>
      <c r="R149" s="4">
        <f t="shared" si="19"/>
        <v>3.5426366366602791E-2</v>
      </c>
      <c r="S149" s="4">
        <v>4.4999999999999998E-2</v>
      </c>
      <c r="T149" s="4">
        <f t="shared" si="20"/>
        <v>4.0825308952635142E-2</v>
      </c>
      <c r="U149">
        <f t="shared" si="28"/>
        <v>190.44249425561125</v>
      </c>
      <c r="V149" s="41">
        <v>0.14000000000000001</v>
      </c>
      <c r="W149" s="42">
        <f t="shared" si="25"/>
        <v>1.0014000000000001</v>
      </c>
      <c r="X149" t="str">
        <f t="shared" si="26"/>
        <v>0.14</v>
      </c>
      <c r="Y149" t="str">
        <f t="shared" si="27"/>
        <v>0.22</v>
      </c>
      <c r="AA149" t="s">
        <v>45</v>
      </c>
      <c r="AB149">
        <v>82.293109999999999</v>
      </c>
      <c r="AC149">
        <v>1017.7810700000001</v>
      </c>
      <c r="AD149">
        <v>1066.2696415248799</v>
      </c>
      <c r="AE149">
        <v>-4.5474962088891485E-2</v>
      </c>
    </row>
    <row r="150" spans="1:31" x14ac:dyDescent="0.25">
      <c r="A150" s="1">
        <v>43221</v>
      </c>
      <c r="B150" s="4">
        <v>6.5000000000000002E-2</v>
      </c>
      <c r="C150" s="16">
        <f t="shared" si="21"/>
        <v>403.19119369810278</v>
      </c>
      <c r="D150" s="4"/>
      <c r="G150" s="4">
        <v>1.9874543159027255E-2</v>
      </c>
      <c r="I150" s="1">
        <v>42491</v>
      </c>
      <c r="J150">
        <v>54.966630000000002</v>
      </c>
      <c r="K150" s="16">
        <f t="shared" si="22"/>
        <v>669.98989000000006</v>
      </c>
      <c r="L150" s="16">
        <v>696.65395329233195</v>
      </c>
      <c r="M150" s="4">
        <f t="shared" si="23"/>
        <v>-3.8274473526375065E-2</v>
      </c>
      <c r="O150" s="1">
        <v>42856</v>
      </c>
      <c r="P150" s="2">
        <v>0.48</v>
      </c>
      <c r="Q150" s="2">
        <f t="shared" si="24"/>
        <v>189.44846777289308</v>
      </c>
      <c r="R150" s="4">
        <f t="shared" si="19"/>
        <v>3.0912022319819821E-2</v>
      </c>
      <c r="S150" s="4">
        <v>4.4999999999999998E-2</v>
      </c>
      <c r="T150" s="4">
        <f t="shared" si="20"/>
        <v>3.5971291337952405E-2</v>
      </c>
      <c r="U150">
        <f t="shared" si="28"/>
        <v>191.03286598780366</v>
      </c>
      <c r="V150" s="41">
        <v>0.31</v>
      </c>
      <c r="W150" s="42">
        <f t="shared" si="25"/>
        <v>1.0031000000000001</v>
      </c>
      <c r="X150" t="str">
        <f t="shared" si="26"/>
        <v>0.31</v>
      </c>
      <c r="Y150" t="str">
        <f t="shared" si="27"/>
        <v>0.48</v>
      </c>
      <c r="AA150">
        <v>42461</v>
      </c>
      <c r="AB150">
        <v>76.136300000000006</v>
      </c>
      <c r="AC150">
        <v>1006.8549</v>
      </c>
      <c r="AD150">
        <v>1061.2656542147099</v>
      </c>
      <c r="AE150">
        <v>-5.1269683512910294E-2</v>
      </c>
    </row>
    <row r="151" spans="1:31" x14ac:dyDescent="0.25">
      <c r="A151" s="1">
        <v>43252</v>
      </c>
      <c r="B151" s="4">
        <v>6.5000000000000002E-2</v>
      </c>
      <c r="C151" s="16">
        <f t="shared" si="21"/>
        <v>405.37514599730082</v>
      </c>
      <c r="D151" s="4"/>
      <c r="G151" s="4">
        <v>2.1732453770302116E-2</v>
      </c>
      <c r="I151" s="1">
        <v>42522</v>
      </c>
      <c r="J151">
        <v>55.291330000000002</v>
      </c>
      <c r="K151" s="16">
        <f t="shared" si="22"/>
        <v>671.14953000000003</v>
      </c>
      <c r="L151" s="16">
        <v>697.64720108350195</v>
      </c>
      <c r="M151" s="4">
        <f t="shared" si="23"/>
        <v>-3.7981476944720663E-2</v>
      </c>
      <c r="O151" s="1">
        <v>42887</v>
      </c>
      <c r="P151" s="2">
        <v>-0.28000000000000003</v>
      </c>
      <c r="Q151" s="2">
        <f t="shared" si="24"/>
        <v>188.91801206312897</v>
      </c>
      <c r="R151" s="4">
        <f t="shared" si="19"/>
        <v>2.8231114880300279E-2</v>
      </c>
      <c r="S151" s="4">
        <v>4.4999999999999998E-2</v>
      </c>
      <c r="T151" s="4">
        <f t="shared" si="20"/>
        <v>2.9983614716367679E-2</v>
      </c>
      <c r="U151">
        <f t="shared" si="28"/>
        <v>190.59349039603171</v>
      </c>
      <c r="V151" s="41">
        <v>-0.23</v>
      </c>
      <c r="W151" s="42">
        <f t="shared" si="25"/>
        <v>0.99770000000000003</v>
      </c>
      <c r="X151" t="str">
        <f t="shared" si="26"/>
        <v>-0.23</v>
      </c>
      <c r="Y151" t="str">
        <f t="shared" si="27"/>
        <v>-0.28</v>
      </c>
      <c r="AA151">
        <v>42491</v>
      </c>
      <c r="AB151">
        <v>77.610470000000007</v>
      </c>
      <c r="AC151">
        <v>997.40289999999993</v>
      </c>
      <c r="AD151">
        <v>1056.6238637358299</v>
      </c>
      <c r="AE151">
        <v>-5.6047346428885883E-2</v>
      </c>
    </row>
    <row r="152" spans="1:31" x14ac:dyDescent="0.25">
      <c r="A152" s="1">
        <v>43282</v>
      </c>
      <c r="B152" s="4">
        <v>6.5000000000000002E-2</v>
      </c>
      <c r="C152" s="16">
        <f t="shared" si="21"/>
        <v>407.57092803811952</v>
      </c>
      <c r="D152" s="4"/>
      <c r="G152" s="4">
        <v>2.185457759878361E-2</v>
      </c>
      <c r="I152" s="1">
        <v>42552</v>
      </c>
      <c r="J152">
        <v>55.152169999999998</v>
      </c>
      <c r="K152" s="16">
        <f t="shared" si="22"/>
        <v>670.5001299999999</v>
      </c>
      <c r="L152" s="16">
        <v>698.83321501980595</v>
      </c>
      <c r="M152" s="4">
        <f t="shared" si="23"/>
        <v>-4.0543414953456453E-2</v>
      </c>
      <c r="O152" s="1">
        <v>42917</v>
      </c>
      <c r="P152" s="2">
        <v>-0.12</v>
      </c>
      <c r="Q152" s="2">
        <f t="shared" si="24"/>
        <v>188.69131044865321</v>
      </c>
      <c r="R152" s="4">
        <f t="shared" si="19"/>
        <v>2.117653131395425E-2</v>
      </c>
      <c r="S152" s="4">
        <v>4.4999999999999998E-2</v>
      </c>
      <c r="T152" s="4">
        <f t="shared" si="20"/>
        <v>2.711457957788177E-2</v>
      </c>
      <c r="U152">
        <f t="shared" si="28"/>
        <v>191.05091477298217</v>
      </c>
      <c r="V152" s="41">
        <v>0.24</v>
      </c>
      <c r="W152" s="42">
        <f t="shared" si="25"/>
        <v>1.0024</v>
      </c>
      <c r="X152" t="str">
        <f t="shared" si="26"/>
        <v>0.24</v>
      </c>
      <c r="Y152" t="str">
        <f t="shared" si="27"/>
        <v>-0.12</v>
      </c>
      <c r="AA152">
        <v>42522</v>
      </c>
      <c r="AB152">
        <v>78.044039999999995</v>
      </c>
      <c r="AC152">
        <v>991.41952000000003</v>
      </c>
      <c r="AD152">
        <v>1052.3812015170899</v>
      </c>
      <c r="AE152">
        <v>-5.7927375963395082E-2</v>
      </c>
    </row>
    <row r="153" spans="1:31" x14ac:dyDescent="0.25">
      <c r="A153" s="1">
        <v>43313</v>
      </c>
      <c r="B153" s="4">
        <v>6.5000000000000002E-2</v>
      </c>
      <c r="C153" s="16">
        <f t="shared" si="21"/>
        <v>409.77860389832597</v>
      </c>
      <c r="D153" s="4"/>
      <c r="G153" s="4">
        <v>2.6114532283158954E-2</v>
      </c>
      <c r="I153" s="1">
        <v>42583</v>
      </c>
      <c r="J153">
        <v>55.337710000000001</v>
      </c>
      <c r="K153" s="16">
        <f t="shared" si="22"/>
        <v>671.19590999999991</v>
      </c>
      <c r="L153" s="16">
        <v>700.223936667771</v>
      </c>
      <c r="M153" s="4">
        <f t="shared" si="23"/>
        <v>-4.1455347564823046E-2</v>
      </c>
      <c r="O153" s="1">
        <v>42948</v>
      </c>
      <c r="P153" s="2">
        <v>0.33</v>
      </c>
      <c r="Q153" s="2">
        <f t="shared" si="24"/>
        <v>189.31399177313378</v>
      </c>
      <c r="R153" s="4">
        <f t="shared" si="19"/>
        <v>2.0769566471346534E-2</v>
      </c>
      <c r="S153" s="4">
        <v>4.4999999999999998E-2</v>
      </c>
      <c r="T153" s="4">
        <f t="shared" si="20"/>
        <v>2.4558041894743088E-2</v>
      </c>
      <c r="U153">
        <f t="shared" si="28"/>
        <v>191.41391151105083</v>
      </c>
      <c r="V153" s="43">
        <v>0.19</v>
      </c>
      <c r="W153" s="42">
        <f t="shared" si="25"/>
        <v>1.0019</v>
      </c>
      <c r="X153" t="str">
        <f t="shared" si="26"/>
        <v>0.19</v>
      </c>
      <c r="Y153" t="str">
        <f t="shared" si="27"/>
        <v>0.33</v>
      </c>
      <c r="AA153">
        <v>42552</v>
      </c>
      <c r="AB153">
        <v>77.17689</v>
      </c>
      <c r="AC153">
        <v>982.83467999999982</v>
      </c>
      <c r="AD153">
        <v>1048.5704864204399</v>
      </c>
      <c r="AE153">
        <v>-6.2690879890054757E-2</v>
      </c>
    </row>
    <row r="154" spans="1:31" x14ac:dyDescent="0.25">
      <c r="A154" s="1">
        <v>43344</v>
      </c>
      <c r="B154" s="4">
        <v>6.5000000000000002E-2</v>
      </c>
      <c r="C154" s="16">
        <f t="shared" si="21"/>
        <v>411.99823800277522</v>
      </c>
      <c r="D154" s="4"/>
      <c r="G154" s="4">
        <v>2.7164649068827498E-2</v>
      </c>
      <c r="I154" s="1">
        <v>42614</v>
      </c>
      <c r="J154">
        <v>52.740130000000001</v>
      </c>
      <c r="K154" s="16">
        <f t="shared" si="22"/>
        <v>670.59289999999999</v>
      </c>
      <c r="L154" s="16">
        <v>701.82934000954799</v>
      </c>
      <c r="M154" s="4">
        <f t="shared" si="23"/>
        <v>-4.4507173224081868E-2</v>
      </c>
      <c r="O154" s="1">
        <v>42979</v>
      </c>
      <c r="P154" s="2">
        <v>7.0000000000000007E-2</v>
      </c>
      <c r="Q154" s="2">
        <f t="shared" si="24"/>
        <v>189.44651156737496</v>
      </c>
      <c r="R154" s="4">
        <f t="shared" ref="R154:R217" si="29">Q154/Q142-1</f>
        <v>1.954696593260441E-2</v>
      </c>
      <c r="S154" s="4">
        <v>4.4999999999999998E-2</v>
      </c>
      <c r="T154" s="4">
        <f t="shared" ref="T154:T217" si="30">U154/U142-1</f>
        <v>2.5377033135266513E-2</v>
      </c>
      <c r="U154">
        <f t="shared" si="28"/>
        <v>191.72017376946852</v>
      </c>
      <c r="V154" s="43">
        <v>0.16</v>
      </c>
      <c r="W154" s="42">
        <f t="shared" si="25"/>
        <v>1.0016</v>
      </c>
      <c r="X154" t="str">
        <f t="shared" si="26"/>
        <v>0.16</v>
      </c>
      <c r="Y154" t="str">
        <f t="shared" si="27"/>
        <v>0.07</v>
      </c>
      <c r="AA154">
        <v>42583</v>
      </c>
      <c r="AB154">
        <v>77.610470000000007</v>
      </c>
      <c r="AC154">
        <v>976.93801999999994</v>
      </c>
      <c r="AD154">
        <v>1045.2203038576899</v>
      </c>
      <c r="AE154">
        <v>-6.5328126143047879E-2</v>
      </c>
    </row>
    <row r="155" spans="1:31" x14ac:dyDescent="0.25">
      <c r="A155" s="1">
        <v>43374</v>
      </c>
      <c r="B155" s="4">
        <v>6.5000000000000002E-2</v>
      </c>
      <c r="C155" s="16">
        <f t="shared" si="21"/>
        <v>414.22989512529023</v>
      </c>
      <c r="D155" s="4"/>
      <c r="G155" s="4">
        <v>3.2326760661935475E-2</v>
      </c>
      <c r="I155" s="1">
        <v>42644</v>
      </c>
      <c r="J155">
        <v>56.126260000000002</v>
      </c>
      <c r="K155" s="16">
        <f t="shared" si="22"/>
        <v>669.43326000000002</v>
      </c>
      <c r="L155" s="16">
        <v>703.65738347612796</v>
      </c>
      <c r="M155" s="4">
        <f t="shared" si="23"/>
        <v>-4.8637482217635281E-2</v>
      </c>
      <c r="O155" s="1">
        <v>43009</v>
      </c>
      <c r="P155" s="2">
        <v>0.32</v>
      </c>
      <c r="Q155" s="2">
        <f t="shared" si="24"/>
        <v>190.05274040439056</v>
      </c>
      <c r="R155" s="4">
        <f t="shared" si="29"/>
        <v>2.0258869050961303E-2</v>
      </c>
      <c r="S155" s="4">
        <v>4.4999999999999998E-2</v>
      </c>
      <c r="T155" s="4">
        <f t="shared" si="30"/>
        <v>2.7013381881542786E-2</v>
      </c>
      <c r="U155">
        <f t="shared" si="28"/>
        <v>192.52539849930028</v>
      </c>
      <c r="V155" s="43">
        <v>0.42</v>
      </c>
      <c r="W155" s="42">
        <f t="shared" si="25"/>
        <v>1.0042</v>
      </c>
      <c r="X155" t="str">
        <f t="shared" si="26"/>
        <v>0.42</v>
      </c>
      <c r="Y155" t="str">
        <f t="shared" si="27"/>
        <v>0.32</v>
      </c>
      <c r="AA155">
        <v>42614</v>
      </c>
      <c r="AB155">
        <v>73.534829999999999</v>
      </c>
      <c r="AC155">
        <v>969.13360999999986</v>
      </c>
      <c r="AD155">
        <v>1042.35467425412</v>
      </c>
      <c r="AE155">
        <v>-7.0245825209653445E-2</v>
      </c>
    </row>
    <row r="156" spans="1:31" x14ac:dyDescent="0.25">
      <c r="A156" s="1">
        <v>43405</v>
      </c>
      <c r="B156" s="4">
        <v>6.5000000000000002E-2</v>
      </c>
      <c r="C156" s="16">
        <f t="shared" si="21"/>
        <v>416.47364039055219</v>
      </c>
      <c r="D156" s="4"/>
      <c r="G156" s="4">
        <v>3.6446540370771524E-2</v>
      </c>
      <c r="I156" s="1">
        <v>42675</v>
      </c>
      <c r="J156">
        <v>56.35819</v>
      </c>
      <c r="K156" s="16">
        <f t="shared" si="22"/>
        <v>669.98988000000008</v>
      </c>
      <c r="L156" s="16">
        <v>705.713856099895</v>
      </c>
      <c r="M156" s="4">
        <f t="shared" si="23"/>
        <v>-5.0621049581373277E-2</v>
      </c>
      <c r="O156" s="1">
        <v>43040</v>
      </c>
      <c r="P156" s="2">
        <v>0.55000000000000004</v>
      </c>
      <c r="Q156" s="2">
        <f t="shared" si="24"/>
        <v>191.09803047661472</v>
      </c>
      <c r="R156" s="4">
        <f t="shared" si="29"/>
        <v>2.2088565139724681E-2</v>
      </c>
      <c r="S156" s="4">
        <v>4.4999999999999998E-2</v>
      </c>
      <c r="T156" s="4">
        <f t="shared" si="30"/>
        <v>2.8038549960881287E-2</v>
      </c>
      <c r="U156">
        <f t="shared" si="28"/>
        <v>193.06446961509832</v>
      </c>
      <c r="V156" s="43">
        <v>0.28000000000000003</v>
      </c>
      <c r="W156" s="42">
        <f t="shared" si="25"/>
        <v>1.0027999999999999</v>
      </c>
      <c r="X156" t="str">
        <f t="shared" si="26"/>
        <v>0.28</v>
      </c>
      <c r="Y156" t="str">
        <f t="shared" si="27"/>
        <v>0.55</v>
      </c>
      <c r="AA156">
        <v>42644</v>
      </c>
      <c r="AB156">
        <v>78.477620000000002</v>
      </c>
      <c r="AC156">
        <v>960.54875999999979</v>
      </c>
      <c r="AD156">
        <v>1039.99287620974</v>
      </c>
      <c r="AE156">
        <v>-7.6389096528501912E-2</v>
      </c>
    </row>
    <row r="157" spans="1:31" x14ac:dyDescent="0.25">
      <c r="A157" s="1">
        <v>43435</v>
      </c>
      <c r="B157" s="4">
        <v>6.5000000000000002E-2</v>
      </c>
      <c r="C157" s="16">
        <f t="shared" si="21"/>
        <v>418.72953927600099</v>
      </c>
      <c r="D157" s="4">
        <f>C157/C145-1</f>
        <v>6.784037364604445E-2</v>
      </c>
      <c r="G157" s="4">
        <v>3.8756038797088985E-2</v>
      </c>
      <c r="I157" s="1">
        <v>42705</v>
      </c>
      <c r="J157">
        <v>67.861760000000004</v>
      </c>
      <c r="K157" s="16">
        <f t="shared" si="22"/>
        <v>668.64471000000015</v>
      </c>
      <c r="L157" s="16">
        <v>708.00217001159797</v>
      </c>
      <c r="M157" s="20">
        <f t="shared" si="23"/>
        <v>-5.5589462403700114E-2</v>
      </c>
      <c r="O157" s="1">
        <v>43070</v>
      </c>
      <c r="P157" s="2">
        <v>0.28000000000000003</v>
      </c>
      <c r="Q157" s="2">
        <f t="shared" si="24"/>
        <v>191.63310496194921</v>
      </c>
      <c r="R157" s="4">
        <f t="shared" si="29"/>
        <v>2.5360557345053714E-2</v>
      </c>
      <c r="S157" s="4">
        <v>4.4999999999999998E-2</v>
      </c>
      <c r="T157" s="4">
        <f t="shared" si="30"/>
        <v>2.9473499083458865E-2</v>
      </c>
      <c r="U157">
        <f t="shared" si="28"/>
        <v>193.91395328140473</v>
      </c>
      <c r="V157" s="43">
        <v>0.44</v>
      </c>
      <c r="W157" s="42">
        <f t="shared" si="25"/>
        <v>1.0044</v>
      </c>
      <c r="X157" t="str">
        <f t="shared" si="26"/>
        <v>0.44</v>
      </c>
      <c r="Y157" t="str">
        <f t="shared" si="27"/>
        <v>0.28</v>
      </c>
      <c r="AA157">
        <v>42675</v>
      </c>
      <c r="AB157">
        <v>79.604929999999996</v>
      </c>
      <c r="AC157">
        <v>955.69268999999997</v>
      </c>
      <c r="AD157">
        <v>1038.1491035284</v>
      </c>
      <c r="AE157">
        <v>-7.9426368763554342E-2</v>
      </c>
    </row>
    <row r="158" spans="1:31" x14ac:dyDescent="0.25">
      <c r="A158" s="1">
        <v>43466</v>
      </c>
      <c r="B158" s="4">
        <v>6.5000000000000002E-2</v>
      </c>
      <c r="C158" s="16">
        <f t="shared" si="21"/>
        <v>420.99765761374596</v>
      </c>
      <c r="D158" s="4"/>
      <c r="G158" s="4">
        <v>3.908475720414873E-2</v>
      </c>
      <c r="I158" s="1">
        <v>42736</v>
      </c>
      <c r="J158">
        <v>59.682560000000002</v>
      </c>
      <c r="K158" s="16">
        <f t="shared" si="22"/>
        <v>675.30882000000008</v>
      </c>
      <c r="L158" s="16">
        <v>710.52325651864999</v>
      </c>
      <c r="M158" s="4">
        <f t="shared" si="23"/>
        <v>-4.9561272197042559E-2</v>
      </c>
      <c r="O158" s="1">
        <v>43101</v>
      </c>
      <c r="P158" s="2">
        <v>0.68</v>
      </c>
      <c r="Q158" s="2">
        <f t="shared" si="24"/>
        <v>192.93621007569044</v>
      </c>
      <c r="R158" s="4">
        <f t="shared" si="29"/>
        <v>3.0478148467758093E-2</v>
      </c>
      <c r="S158" s="4">
        <v>4.4999999999999998E-2</v>
      </c>
      <c r="T158" s="4">
        <f t="shared" si="30"/>
        <v>2.8550480405260759E-2</v>
      </c>
      <c r="U158">
        <f t="shared" si="28"/>
        <v>194.47630374592077</v>
      </c>
      <c r="V158" s="43">
        <v>0.28999999999999998</v>
      </c>
      <c r="W158" s="42">
        <f t="shared" si="25"/>
        <v>1.0028999999999999</v>
      </c>
      <c r="X158" t="str">
        <f t="shared" si="26"/>
        <v>0.29</v>
      </c>
      <c r="Y158" t="str">
        <f t="shared" si="27"/>
        <v>0.68</v>
      </c>
      <c r="AA158">
        <v>42705</v>
      </c>
      <c r="AB158">
        <v>94.953590000000005</v>
      </c>
      <c r="AC158">
        <v>947.19455999999991</v>
      </c>
      <c r="AD158">
        <v>1036.8320330614799</v>
      </c>
      <c r="AE158">
        <v>-8.6453225019297683E-2</v>
      </c>
    </row>
    <row r="159" spans="1:31" x14ac:dyDescent="0.25">
      <c r="A159" s="1">
        <v>43497</v>
      </c>
      <c r="B159" s="4">
        <v>6.5000000000000002E-2</v>
      </c>
      <c r="C159" s="16">
        <f t="shared" si="21"/>
        <v>423.27806159248706</v>
      </c>
      <c r="D159" s="4"/>
      <c r="G159" s="4">
        <v>4.223128342895268E-2</v>
      </c>
      <c r="I159" s="1">
        <v>42767</v>
      </c>
      <c r="J159">
        <v>53.083970000000001</v>
      </c>
      <c r="K159" s="16">
        <f t="shared" si="22"/>
        <v>677.55444999999997</v>
      </c>
      <c r="L159" s="16">
        <v>713.27531344443196</v>
      </c>
      <c r="M159" s="4">
        <f t="shared" si="23"/>
        <v>-5.0080050116882158E-2</v>
      </c>
      <c r="O159" s="1">
        <v>43132</v>
      </c>
      <c r="P159" s="2">
        <v>0.08</v>
      </c>
      <c r="Q159" s="2">
        <f t="shared" si="24"/>
        <v>193.09055904375097</v>
      </c>
      <c r="R159" s="4">
        <f t="shared" si="29"/>
        <v>2.8833330992151129E-2</v>
      </c>
      <c r="S159" s="4">
        <v>4.4999999999999998E-2</v>
      </c>
      <c r="T159" s="4">
        <f t="shared" si="30"/>
        <v>2.8447963662471487E-2</v>
      </c>
      <c r="U159">
        <f t="shared" si="28"/>
        <v>195.09862791790775</v>
      </c>
      <c r="V159" s="43">
        <v>0.32</v>
      </c>
      <c r="W159" s="42">
        <f t="shared" si="25"/>
        <v>1.0032000000000001</v>
      </c>
      <c r="X159" t="str">
        <f t="shared" si="26"/>
        <v>0.32</v>
      </c>
      <c r="Y159" t="str">
        <f t="shared" si="27"/>
        <v>0.08</v>
      </c>
      <c r="AA159">
        <v>42736</v>
      </c>
      <c r="AB159">
        <v>83.308899999999994</v>
      </c>
      <c r="AC159">
        <v>952.28597999999988</v>
      </c>
      <c r="AD159">
        <v>1036.0446155205</v>
      </c>
      <c r="AE159">
        <v>-8.0844622196526231E-2</v>
      </c>
    </row>
    <row r="160" spans="1:31" x14ac:dyDescent="0.25">
      <c r="A160" s="1">
        <v>43525</v>
      </c>
      <c r="B160" s="4">
        <v>6.5000000000000002E-2</v>
      </c>
      <c r="C160" s="16">
        <f t="shared" si="21"/>
        <v>425.57081775944636</v>
      </c>
      <c r="D160" s="4"/>
      <c r="G160" s="4">
        <v>3.8333760136819835E-2</v>
      </c>
      <c r="I160" s="1">
        <v>42795</v>
      </c>
      <c r="J160">
        <v>63.411879999999996</v>
      </c>
      <c r="K160" s="16">
        <f t="shared" si="22"/>
        <v>683.72682000000009</v>
      </c>
      <c r="L160" s="16">
        <v>716.25409324729105</v>
      </c>
      <c r="M160" s="4">
        <f t="shared" si="23"/>
        <v>-4.5413036454453777E-2</v>
      </c>
      <c r="O160" s="1">
        <v>43160</v>
      </c>
      <c r="P160" s="2">
        <v>0.11</v>
      </c>
      <c r="Q160" s="2">
        <f t="shared" si="24"/>
        <v>193.30295865869911</v>
      </c>
      <c r="R160" s="4">
        <f t="shared" si="29"/>
        <v>2.7499049936395181E-2</v>
      </c>
      <c r="S160" s="4">
        <v>4.4999999999999998E-2</v>
      </c>
      <c r="T160" s="4">
        <f t="shared" si="30"/>
        <v>2.6806550453633671E-2</v>
      </c>
      <c r="U160">
        <f t="shared" si="28"/>
        <v>195.27421668303384</v>
      </c>
      <c r="V160" s="43">
        <v>0.09</v>
      </c>
      <c r="W160" s="42">
        <f t="shared" si="25"/>
        <v>1.0008999999999999</v>
      </c>
      <c r="X160" t="str">
        <f t="shared" si="26"/>
        <v>0.09</v>
      </c>
      <c r="Y160" t="str">
        <f t="shared" si="27"/>
        <v>0.11</v>
      </c>
      <c r="AA160">
        <v>42767</v>
      </c>
      <c r="AB160">
        <v>74.047160000000005</v>
      </c>
      <c r="AC160">
        <v>952.79831000000001</v>
      </c>
      <c r="AD160">
        <v>1035.7835767924801</v>
      </c>
      <c r="AE160">
        <v>-8.0118345812608113E-2</v>
      </c>
    </row>
    <row r="161" spans="1:31" x14ac:dyDescent="0.25">
      <c r="A161" s="1">
        <v>43556</v>
      </c>
      <c r="B161" s="4">
        <v>6.5000000000000002E-2</v>
      </c>
      <c r="C161" s="16">
        <f t="shared" si="21"/>
        <v>427.87599302231001</v>
      </c>
      <c r="D161" s="4"/>
      <c r="G161" s="4">
        <v>4.1412295047009176E-2</v>
      </c>
      <c r="I161" s="1">
        <v>42826</v>
      </c>
      <c r="J161">
        <v>59.170819999999999</v>
      </c>
      <c r="K161" s="16">
        <f t="shared" si="22"/>
        <v>689.18341000000009</v>
      </c>
      <c r="L161" s="16">
        <v>719.45286746103</v>
      </c>
      <c r="M161" s="4">
        <f t="shared" si="23"/>
        <v>-4.207288459055239E-2</v>
      </c>
      <c r="O161" s="1">
        <v>43191</v>
      </c>
      <c r="P161" s="2">
        <v>0.4</v>
      </c>
      <c r="Q161" s="2">
        <f t="shared" si="24"/>
        <v>194.0761704933339</v>
      </c>
      <c r="R161" s="4">
        <f t="shared" si="29"/>
        <v>2.9344488261964452E-2</v>
      </c>
      <c r="S161" s="4">
        <v>4.4999999999999998E-2</v>
      </c>
      <c r="T161" s="4">
        <f t="shared" si="30"/>
        <v>2.7626847278441558E-2</v>
      </c>
      <c r="U161">
        <f t="shared" si="28"/>
        <v>195.70381995973651</v>
      </c>
      <c r="V161" s="43">
        <v>0.22</v>
      </c>
      <c r="W161" s="42">
        <f t="shared" si="25"/>
        <v>1.0022</v>
      </c>
      <c r="X161" t="str">
        <f t="shared" si="26"/>
        <v>0.22</v>
      </c>
      <c r="Y161" t="str">
        <f t="shared" si="27"/>
        <v>0.4</v>
      </c>
      <c r="AA161" t="s">
        <v>46</v>
      </c>
      <c r="AB161">
        <v>89.246420000000001</v>
      </c>
      <c r="AC161">
        <v>959.75162</v>
      </c>
      <c r="AD161">
        <v>1036.03982619251</v>
      </c>
      <c r="AE161">
        <v>-7.3634433989736028E-2</v>
      </c>
    </row>
    <row r="162" spans="1:31" x14ac:dyDescent="0.25">
      <c r="A162" s="1">
        <v>43586</v>
      </c>
      <c r="B162" s="4">
        <v>6.5000000000000002E-2</v>
      </c>
      <c r="C162" s="16">
        <f t="shared" si="21"/>
        <v>430.19365465118085</v>
      </c>
      <c r="D162" s="4"/>
      <c r="G162" s="4">
        <v>4.4557883939362018E-2</v>
      </c>
      <c r="I162" s="1">
        <v>42856</v>
      </c>
      <c r="J162">
        <v>62.050379999999997</v>
      </c>
      <c r="K162" s="16">
        <f t="shared" si="22"/>
        <v>696.2671600000001</v>
      </c>
      <c r="L162" s="16">
        <v>722.862649001862</v>
      </c>
      <c r="M162" s="4">
        <f t="shared" si="23"/>
        <v>-3.6791898209964626E-2</v>
      </c>
      <c r="O162" s="1">
        <v>43221</v>
      </c>
      <c r="P162" s="2">
        <v>0.75</v>
      </c>
      <c r="Q162" s="2">
        <f t="shared" si="24"/>
        <v>195.53174177203391</v>
      </c>
      <c r="R162" s="4">
        <f t="shared" si="29"/>
        <v>3.2110441803273604E-2</v>
      </c>
      <c r="S162" s="4">
        <v>4.4999999999999998E-2</v>
      </c>
      <c r="T162" s="4">
        <f t="shared" si="30"/>
        <v>2.8548853222565285E-2</v>
      </c>
      <c r="U162">
        <f t="shared" si="28"/>
        <v>196.48663523957546</v>
      </c>
      <c r="V162" s="43">
        <v>0.4</v>
      </c>
      <c r="W162" s="42">
        <f t="shared" si="25"/>
        <v>1.004</v>
      </c>
      <c r="X162" t="str">
        <f t="shared" si="26"/>
        <v>0.4</v>
      </c>
      <c r="Y162" t="str">
        <f t="shared" si="27"/>
        <v>0.75</v>
      </c>
      <c r="AA162">
        <v>42826</v>
      </c>
      <c r="AB162">
        <v>82.829949999999997</v>
      </c>
      <c r="AC162">
        <v>966.44526999999994</v>
      </c>
      <c r="AD162">
        <v>1036.7985101699501</v>
      </c>
      <c r="AE162">
        <v>-6.7856231929208671E-2</v>
      </c>
    </row>
    <row r="163" spans="1:31" x14ac:dyDescent="0.25">
      <c r="A163" s="1">
        <v>43617</v>
      </c>
      <c r="B163" s="4">
        <v>6.5000000000000002E-2</v>
      </c>
      <c r="C163" s="16">
        <f t="shared" si="21"/>
        <v>432.52387028054142</v>
      </c>
      <c r="D163" s="4"/>
      <c r="G163" s="4">
        <v>4.1420899389925533E-2</v>
      </c>
      <c r="I163" s="1">
        <v>42887</v>
      </c>
      <c r="J163">
        <v>61.79504</v>
      </c>
      <c r="K163" s="16">
        <f t="shared" si="22"/>
        <v>702.77087000000006</v>
      </c>
      <c r="L163" s="16">
        <v>726.47234850354096</v>
      </c>
      <c r="M163" s="4">
        <f t="shared" si="23"/>
        <v>-3.2625437915652991E-2</v>
      </c>
      <c r="O163" s="1">
        <v>43252</v>
      </c>
      <c r="P163" s="2">
        <v>1.43</v>
      </c>
      <c r="Q163" s="2">
        <f t="shared" si="24"/>
        <v>198.32784567937398</v>
      </c>
      <c r="R163" s="4">
        <f t="shared" si="29"/>
        <v>4.9809086563437965E-2</v>
      </c>
      <c r="S163" s="4">
        <v>4.4999999999999998E-2</v>
      </c>
      <c r="T163" s="4">
        <f t="shared" si="30"/>
        <v>4.3909560762924293E-2</v>
      </c>
      <c r="U163">
        <f t="shared" si="28"/>
        <v>198.96236684359411</v>
      </c>
      <c r="V163" s="43">
        <v>1.26</v>
      </c>
      <c r="W163" s="42">
        <f t="shared" si="25"/>
        <v>1.0125999999999999</v>
      </c>
      <c r="X163" t="str">
        <f t="shared" si="26"/>
        <v>1.26</v>
      </c>
      <c r="Y163" t="str">
        <f t="shared" si="27"/>
        <v>1.43</v>
      </c>
      <c r="AA163">
        <v>42856</v>
      </c>
      <c r="AB163">
        <v>87.063230000000004</v>
      </c>
      <c r="AC163">
        <v>975.89803000000006</v>
      </c>
      <c r="AD163">
        <v>1038.0394773820501</v>
      </c>
      <c r="AE163">
        <v>-5.9864242869425002E-2</v>
      </c>
    </row>
    <row r="164" spans="1:31" x14ac:dyDescent="0.25">
      <c r="A164" s="1">
        <v>43647</v>
      </c>
      <c r="B164" s="4">
        <v>6.5000000000000002E-2</v>
      </c>
      <c r="C164" s="16">
        <f t="shared" si="21"/>
        <v>434.86670791122765</v>
      </c>
      <c r="D164" s="4"/>
      <c r="G164" s="4">
        <v>4.4118623679899001E-2</v>
      </c>
      <c r="I164" s="1">
        <v>42917</v>
      </c>
      <c r="J164">
        <v>61.397039999999997</v>
      </c>
      <c r="K164" s="16">
        <f t="shared" si="22"/>
        <v>709.01574000000005</v>
      </c>
      <c r="L164" s="16">
        <v>730.26902988808297</v>
      </c>
      <c r="M164" s="4">
        <f t="shared" si="23"/>
        <v>-2.9103370152969626E-2</v>
      </c>
      <c r="O164" s="1">
        <v>43282</v>
      </c>
      <c r="P164" s="2">
        <v>0.05</v>
      </c>
      <c r="Q164" s="2">
        <f t="shared" si="24"/>
        <v>198.42700960221364</v>
      </c>
      <c r="R164" s="4">
        <f t="shared" si="29"/>
        <v>5.1595906194152663E-2</v>
      </c>
      <c r="S164" s="4">
        <v>4.4999999999999998E-2</v>
      </c>
      <c r="T164" s="4">
        <f t="shared" si="30"/>
        <v>4.4846829921630471E-2</v>
      </c>
      <c r="U164">
        <f t="shared" si="28"/>
        <v>199.618942654178</v>
      </c>
      <c r="V164" s="43">
        <v>0.33</v>
      </c>
      <c r="W164" s="42">
        <f t="shared" si="25"/>
        <v>1.0033000000000001</v>
      </c>
      <c r="X164" t="str">
        <f t="shared" si="26"/>
        <v>0.33</v>
      </c>
      <c r="Y164" t="str">
        <f t="shared" si="27"/>
        <v>0.05</v>
      </c>
      <c r="AA164">
        <v>42887</v>
      </c>
      <c r="AB164">
        <v>87.034620000000004</v>
      </c>
      <c r="AC164">
        <v>984.88861000000009</v>
      </c>
      <c r="AD164">
        <v>1039.73769084438</v>
      </c>
      <c r="AE164">
        <v>-5.2752806142707533E-2</v>
      </c>
    </row>
    <row r="165" spans="1:31" x14ac:dyDescent="0.25">
      <c r="A165" s="1">
        <v>43678</v>
      </c>
      <c r="B165" s="4">
        <v>0.06</v>
      </c>
      <c r="C165" s="16">
        <f t="shared" si="21"/>
        <v>437.04104145078372</v>
      </c>
      <c r="D165" s="4"/>
      <c r="G165" s="4">
        <v>3.7298115143456413E-2</v>
      </c>
      <c r="I165" s="1">
        <v>42948</v>
      </c>
      <c r="J165">
        <v>64.496300000000005</v>
      </c>
      <c r="K165" s="16">
        <f t="shared" si="22"/>
        <v>718.17432999999994</v>
      </c>
      <c r="L165" s="16">
        <v>734.23811108107998</v>
      </c>
      <c r="M165" s="4">
        <f t="shared" si="23"/>
        <v>-2.1878163008220854E-2</v>
      </c>
      <c r="O165" s="1">
        <v>43313</v>
      </c>
      <c r="P165" s="2">
        <v>-0.1</v>
      </c>
      <c r="Q165" s="2">
        <f t="shared" si="24"/>
        <v>198.22858259261142</v>
      </c>
      <c r="R165" s="4">
        <f t="shared" si="29"/>
        <v>4.7088916862312757E-2</v>
      </c>
      <c r="S165" s="4">
        <v>4.4999999999999998E-2</v>
      </c>
      <c r="T165" s="4">
        <f t="shared" si="30"/>
        <v>4.192680684170158E-2</v>
      </c>
      <c r="U165">
        <f t="shared" si="28"/>
        <v>199.43928560578922</v>
      </c>
      <c r="V165" s="43">
        <v>-0.09</v>
      </c>
      <c r="W165" s="42">
        <f t="shared" si="25"/>
        <v>0.99909999999999999</v>
      </c>
      <c r="X165" t="str">
        <f t="shared" si="26"/>
        <v>-0.09</v>
      </c>
      <c r="Y165" t="str">
        <f t="shared" si="27"/>
        <v>-0.1</v>
      </c>
      <c r="AA165">
        <v>42917</v>
      </c>
      <c r="AB165">
        <v>87.305670000000006</v>
      </c>
      <c r="AC165">
        <v>995.01739000000009</v>
      </c>
      <c r="AD165">
        <v>1041.86379819425</v>
      </c>
      <c r="AE165">
        <v>-4.4964042589294012E-2</v>
      </c>
    </row>
    <row r="166" spans="1:31" x14ac:dyDescent="0.25">
      <c r="A166" s="1">
        <v>43709</v>
      </c>
      <c r="B166" s="4">
        <v>5.7999999999999996E-2</v>
      </c>
      <c r="C166" s="16">
        <f t="shared" si="21"/>
        <v>439.15340648446249</v>
      </c>
      <c r="D166" s="4"/>
      <c r="G166" s="4">
        <v>3.1158217675907294E-2</v>
      </c>
      <c r="I166" s="1">
        <v>42979</v>
      </c>
      <c r="J166">
        <v>62.508000000000003</v>
      </c>
      <c r="K166" s="16">
        <f t="shared" si="22"/>
        <v>727.94220000000007</v>
      </c>
      <c r="L166" s="16">
        <v>738.363534381048</v>
      </c>
      <c r="M166" s="4">
        <f t="shared" si="23"/>
        <v>-1.4114096777251974E-2</v>
      </c>
      <c r="O166" s="1">
        <v>43344</v>
      </c>
      <c r="P166" s="2">
        <v>0.56999999999999995</v>
      </c>
      <c r="Q166" s="2">
        <f t="shared" si="24"/>
        <v>199.3584855133893</v>
      </c>
      <c r="R166" s="4">
        <f t="shared" si="29"/>
        <v>5.2320699198988629E-2</v>
      </c>
      <c r="S166" s="4">
        <v>4.4999999999999998E-2</v>
      </c>
      <c r="T166" s="4">
        <f t="shared" si="30"/>
        <v>4.5255646480173439E-2</v>
      </c>
      <c r="U166">
        <f t="shared" si="28"/>
        <v>200.39659417669699</v>
      </c>
      <c r="V166" s="43">
        <v>0.48</v>
      </c>
      <c r="W166" s="42">
        <f t="shared" si="25"/>
        <v>1.0047999999999999</v>
      </c>
      <c r="X166" t="str">
        <f t="shared" si="26"/>
        <v>0.48</v>
      </c>
      <c r="Y166" t="str">
        <f t="shared" si="27"/>
        <v>0.57</v>
      </c>
      <c r="AA166">
        <v>42948</v>
      </c>
      <c r="AB166">
        <v>91.163030000000006</v>
      </c>
      <c r="AC166">
        <v>1008.5699500000001</v>
      </c>
      <c r="AD166">
        <v>1044.38463810497</v>
      </c>
      <c r="AE166">
        <v>-3.429262246709746E-2</v>
      </c>
    </row>
    <row r="167" spans="1:31" x14ac:dyDescent="0.25">
      <c r="A167" s="1">
        <v>43739</v>
      </c>
      <c r="B167" s="4">
        <v>5.4838709677419349E-2</v>
      </c>
      <c r="C167" s="16">
        <f t="shared" si="21"/>
        <v>441.16029033130013</v>
      </c>
      <c r="D167" s="4"/>
      <c r="G167" s="4">
        <v>2.5275933234136901E-2</v>
      </c>
      <c r="I167" s="1">
        <v>43009</v>
      </c>
      <c r="J167">
        <v>65.46808</v>
      </c>
      <c r="K167" s="16">
        <f t="shared" si="22"/>
        <v>737.28402000000006</v>
      </c>
      <c r="L167" s="16">
        <v>742.628126245457</v>
      </c>
      <c r="M167" s="4">
        <f t="shared" si="23"/>
        <v>-7.1962077069116859E-3</v>
      </c>
      <c r="O167" s="1">
        <v>43374</v>
      </c>
      <c r="P167" s="2">
        <v>0.72</v>
      </c>
      <c r="Q167" s="2">
        <f t="shared" si="24"/>
        <v>200.79386660908571</v>
      </c>
      <c r="R167" s="4">
        <f t="shared" si="29"/>
        <v>5.6516555256400869E-2</v>
      </c>
      <c r="S167" s="4">
        <v>4.4999999999999998E-2</v>
      </c>
      <c r="T167" s="4">
        <f t="shared" si="30"/>
        <v>4.5567911660360672E-2</v>
      </c>
      <c r="U167">
        <f t="shared" si="28"/>
        <v>201.29837885049213</v>
      </c>
      <c r="V167" s="43">
        <v>0.45</v>
      </c>
      <c r="W167" s="42">
        <f t="shared" si="25"/>
        <v>1.0044999999999999</v>
      </c>
      <c r="X167" t="str">
        <f t="shared" si="26"/>
        <v>0.45</v>
      </c>
      <c r="Y167" t="str">
        <f t="shared" si="27"/>
        <v>0.72</v>
      </c>
      <c r="AA167">
        <v>42979</v>
      </c>
      <c r="AB167">
        <v>88.312299999999993</v>
      </c>
      <c r="AC167">
        <v>1023.3474200000001</v>
      </c>
      <c r="AD167">
        <v>1047.2637960271099</v>
      </c>
      <c r="AE167">
        <v>-2.2837012143300313E-2</v>
      </c>
    </row>
    <row r="168" spans="1:31" x14ac:dyDescent="0.25">
      <c r="A168" s="1">
        <v>43770</v>
      </c>
      <c r="B168" s="4">
        <v>0.05</v>
      </c>
      <c r="C168" s="16">
        <f t="shared" si="21"/>
        <v>442.99845820768053</v>
      </c>
      <c r="D168" s="4"/>
      <c r="G168" s="4">
        <v>2.1802477721890402E-2</v>
      </c>
      <c r="I168" s="1">
        <v>43040</v>
      </c>
      <c r="J168">
        <v>68.195689999999999</v>
      </c>
      <c r="K168" s="16">
        <f t="shared" si="22"/>
        <v>749.12152000000003</v>
      </c>
      <c r="L168" s="16">
        <v>747.01398927522098</v>
      </c>
      <c r="M168" s="4">
        <f t="shared" si="23"/>
        <v>2.8212734366913975E-3</v>
      </c>
      <c r="O168" s="1">
        <v>43405</v>
      </c>
      <c r="P168" s="2">
        <v>-0.42</v>
      </c>
      <c r="Q168" s="2">
        <f t="shared" si="24"/>
        <v>199.95053236932756</v>
      </c>
      <c r="R168" s="4">
        <f t="shared" si="29"/>
        <v>4.6324401515986047E-2</v>
      </c>
      <c r="S168" s="4">
        <v>4.4999999999999998E-2</v>
      </c>
      <c r="T168" s="4">
        <f t="shared" si="30"/>
        <v>4.0458934030588312E-2</v>
      </c>
      <c r="U168">
        <f t="shared" si="28"/>
        <v>200.8756522549061</v>
      </c>
      <c r="V168" s="43">
        <v>-0.21</v>
      </c>
      <c r="W168" s="42">
        <f t="shared" si="25"/>
        <v>0.99790000000000001</v>
      </c>
      <c r="X168" t="str">
        <f t="shared" si="26"/>
        <v>-0.21</v>
      </c>
      <c r="Y168" t="str">
        <f t="shared" si="27"/>
        <v>-0.42</v>
      </c>
      <c r="AA168">
        <v>43009</v>
      </c>
      <c r="AB168">
        <v>92.448179999999994</v>
      </c>
      <c r="AC168">
        <v>1037.31798</v>
      </c>
      <c r="AD168">
        <v>1050.46237028009</v>
      </c>
      <c r="AE168">
        <v>-1.2512956819752822E-2</v>
      </c>
    </row>
    <row r="169" spans="1:31" ht="15.75" thickBot="1" x14ac:dyDescent="0.3">
      <c r="A169" s="1">
        <v>43800</v>
      </c>
      <c r="B169" s="4">
        <v>4.6774193548387098E-2</v>
      </c>
      <c r="C169" s="16">
        <f t="shared" si="21"/>
        <v>444.72519950983411</v>
      </c>
      <c r="D169" s="4">
        <f>C169/C157-1</f>
        <v>6.2082222044283153E-2</v>
      </c>
      <c r="G169" s="4">
        <v>2.2272197022164153E-2</v>
      </c>
      <c r="I169" s="1">
        <v>43070</v>
      </c>
      <c r="J169">
        <v>81.228890000000007</v>
      </c>
      <c r="K169" s="16">
        <f t="shared" si="22"/>
        <v>762.48865000000001</v>
      </c>
      <c r="L169" s="16">
        <v>751.50285467359902</v>
      </c>
      <c r="M169" s="20">
        <f t="shared" si="23"/>
        <v>1.461843459153919E-2</v>
      </c>
      <c r="O169" s="1">
        <v>43435</v>
      </c>
      <c r="P169" s="2">
        <v>0.26</v>
      </c>
      <c r="Q169" s="2">
        <f t="shared" si="24"/>
        <v>200.4704037534878</v>
      </c>
      <c r="R169" s="4">
        <f t="shared" si="29"/>
        <v>4.6115720941292127E-2</v>
      </c>
      <c r="S169" s="4">
        <v>4.4999999999999998E-2</v>
      </c>
      <c r="T169" s="4">
        <f t="shared" si="30"/>
        <v>3.7454821218273926E-2</v>
      </c>
      <c r="U169">
        <f t="shared" si="28"/>
        <v>201.17696573328848</v>
      </c>
      <c r="V169" s="44">
        <v>0.15</v>
      </c>
      <c r="W169" s="42">
        <f t="shared" si="25"/>
        <v>1.0015000000000001</v>
      </c>
      <c r="X169" t="str">
        <f t="shared" si="26"/>
        <v>0.15</v>
      </c>
      <c r="Y169" t="str">
        <f t="shared" si="27"/>
        <v>0.26</v>
      </c>
      <c r="AA169">
        <v>43040</v>
      </c>
      <c r="AB169">
        <v>96.249510000000001</v>
      </c>
      <c r="AC169">
        <v>1053.9625599999999</v>
      </c>
      <c r="AD169">
        <v>1053.93979832389</v>
      </c>
      <c r="AE169">
        <v>2.1596751679833E-5</v>
      </c>
    </row>
    <row r="170" spans="1:31" ht="15.75" thickTop="1" x14ac:dyDescent="0.25">
      <c r="A170" s="1">
        <v>43831</v>
      </c>
      <c r="B170" s="4">
        <v>4.4999999999999998E-2</v>
      </c>
      <c r="C170" s="16">
        <f t="shared" si="21"/>
        <v>446.39291900799594</v>
      </c>
      <c r="D170" s="4"/>
      <c r="G170" s="4">
        <v>2.1074933690665258E-2</v>
      </c>
      <c r="I170" s="1">
        <v>43101</v>
      </c>
      <c r="J170">
        <v>65.234089999999995</v>
      </c>
      <c r="K170" s="16">
        <f t="shared" si="22"/>
        <v>768.04017999999996</v>
      </c>
      <c r="L170" s="16">
        <v>756.07659989459603</v>
      </c>
      <c r="M170" s="4">
        <f t="shared" si="23"/>
        <v>1.5823238157445643E-2</v>
      </c>
      <c r="O170" s="1">
        <v>43466</v>
      </c>
      <c r="P170" s="2">
        <v>0.08</v>
      </c>
      <c r="Q170" s="2">
        <f t="shared" si="24"/>
        <v>200.63078007649057</v>
      </c>
      <c r="R170" s="4">
        <f t="shared" si="29"/>
        <v>3.9881419862976886E-2</v>
      </c>
      <c r="S170" s="4">
        <v>4.2500000000000003E-2</v>
      </c>
      <c r="T170" s="4">
        <f t="shared" si="30"/>
        <v>3.7765157688875117E-2</v>
      </c>
      <c r="U170">
        <f t="shared" si="28"/>
        <v>201.82073202363503</v>
      </c>
      <c r="V170" s="43">
        <v>0.32</v>
      </c>
      <c r="W170" s="42">
        <f t="shared" si="25"/>
        <v>1.0032000000000001</v>
      </c>
      <c r="X170" t="str">
        <f t="shared" si="26"/>
        <v>0.32</v>
      </c>
      <c r="Y170" t="str">
        <f t="shared" si="27"/>
        <v>0.08</v>
      </c>
      <c r="AA170">
        <v>43070</v>
      </c>
      <c r="AB170">
        <v>114.15128</v>
      </c>
      <c r="AC170">
        <v>1073.1602500000001</v>
      </c>
      <c r="AD170">
        <v>1057.6546048136199</v>
      </c>
      <c r="AE170">
        <v>1.4660405311725196E-2</v>
      </c>
    </row>
    <row r="171" spans="1:31" x14ac:dyDescent="0.25">
      <c r="A171" s="1">
        <v>43862</v>
      </c>
      <c r="B171" s="4">
        <v>4.2931034482758618E-2</v>
      </c>
      <c r="C171" s="16">
        <f t="shared" si="21"/>
        <v>447.98992815789524</v>
      </c>
      <c r="D171" s="4"/>
      <c r="G171" s="4">
        <v>1.8785953333888151E-2</v>
      </c>
      <c r="I171" s="1">
        <v>43132</v>
      </c>
      <c r="J171">
        <v>58.762999999999998</v>
      </c>
      <c r="K171" s="16">
        <f t="shared" si="22"/>
        <v>773.71920999999998</v>
      </c>
      <c r="L171" s="16">
        <v>760.71786538841798</v>
      </c>
      <c r="M171" s="4">
        <f t="shared" si="23"/>
        <v>1.709088901828747E-2</v>
      </c>
      <c r="O171" s="1">
        <v>43497</v>
      </c>
      <c r="P171" s="2">
        <v>0.15</v>
      </c>
      <c r="Q171" s="2">
        <f t="shared" si="24"/>
        <v>200.93172624660531</v>
      </c>
      <c r="R171" s="4">
        <f t="shared" si="29"/>
        <v>4.0608754988780582E-2</v>
      </c>
      <c r="S171" s="4">
        <v>4.2500000000000003E-2</v>
      </c>
      <c r="T171" s="4">
        <f t="shared" si="30"/>
        <v>3.8903058081077635E-2</v>
      </c>
      <c r="U171">
        <f t="shared" si="28"/>
        <v>202.68856117133666</v>
      </c>
      <c r="V171" s="43">
        <v>0.43</v>
      </c>
      <c r="W171" s="42">
        <f t="shared" si="25"/>
        <v>1.0043</v>
      </c>
      <c r="X171" t="str">
        <f t="shared" si="26"/>
        <v>0.43</v>
      </c>
      <c r="Y171" t="str">
        <f t="shared" si="27"/>
        <v>0.15</v>
      </c>
      <c r="AA171">
        <v>43101</v>
      </c>
      <c r="AB171">
        <v>90.830579999999998</v>
      </c>
      <c r="AC171">
        <v>1080.6819300000002</v>
      </c>
      <c r="AD171">
        <v>1061.5653159850499</v>
      </c>
      <c r="AE171">
        <v>1.8007948947740039E-2</v>
      </c>
    </row>
    <row r="172" spans="1:31" x14ac:dyDescent="0.25">
      <c r="A172" s="1">
        <v>43891</v>
      </c>
      <c r="B172" s="4">
        <v>4.0403225806451608E-2</v>
      </c>
      <c r="C172" s="16">
        <f t="shared" si="21"/>
        <v>449.49828134342687</v>
      </c>
      <c r="D172" s="4"/>
      <c r="G172" s="4">
        <v>5.49376774432489E-3</v>
      </c>
      <c r="I172" s="1">
        <v>43160</v>
      </c>
      <c r="J172">
        <v>70.704409999999996</v>
      </c>
      <c r="K172" s="16">
        <f t="shared" si="22"/>
        <v>781.01174000000015</v>
      </c>
      <c r="L172" s="16">
        <v>765.41012239694703</v>
      </c>
      <c r="M172" s="4">
        <f t="shared" si="23"/>
        <v>2.0383343708854175E-2</v>
      </c>
      <c r="O172" s="1">
        <v>43525</v>
      </c>
      <c r="P172" s="2">
        <v>1.18</v>
      </c>
      <c r="Q172" s="2">
        <f t="shared" si="24"/>
        <v>203.30272061631527</v>
      </c>
      <c r="R172" s="4">
        <f t="shared" si="29"/>
        <v>5.1731034160072076E-2</v>
      </c>
      <c r="S172" s="4">
        <v>4.2500000000000003E-2</v>
      </c>
      <c r="T172" s="4">
        <f t="shared" si="30"/>
        <v>4.575365272922971E-2</v>
      </c>
      <c r="U172">
        <f t="shared" si="28"/>
        <v>204.20872538012171</v>
      </c>
      <c r="V172" s="43">
        <v>0.75</v>
      </c>
      <c r="W172" s="42">
        <f t="shared" si="25"/>
        <v>1.0075000000000001</v>
      </c>
      <c r="X172" t="str">
        <f t="shared" si="26"/>
        <v>0.75</v>
      </c>
      <c r="Y172" t="str">
        <f t="shared" si="27"/>
        <v>1.18</v>
      </c>
      <c r="AA172">
        <v>43132</v>
      </c>
      <c r="AB172">
        <v>81.445480000000003</v>
      </c>
      <c r="AC172">
        <v>1088.0802500000002</v>
      </c>
      <c r="AD172">
        <v>1065.6315348548601</v>
      </c>
      <c r="AE172">
        <v>2.1066113765296601E-2</v>
      </c>
    </row>
    <row r="173" spans="1:31" x14ac:dyDescent="0.25">
      <c r="A173" s="1">
        <v>43922</v>
      </c>
      <c r="B173" s="4">
        <v>3.7499999999999999E-2</v>
      </c>
      <c r="C173" s="16">
        <f t="shared" si="21"/>
        <v>450.90296347262512</v>
      </c>
      <c r="D173" s="4"/>
      <c r="G173" s="4">
        <v>-1.99403407749905E-2</v>
      </c>
      <c r="I173" s="1">
        <v>43191</v>
      </c>
      <c r="J173">
        <v>64.82056</v>
      </c>
      <c r="K173" s="16">
        <f t="shared" si="22"/>
        <v>786.6614800000001</v>
      </c>
      <c r="L173" s="16">
        <v>770.13774508807796</v>
      </c>
      <c r="M173" s="4">
        <f t="shared" si="23"/>
        <v>2.1455557810677584E-2</v>
      </c>
      <c r="O173" s="1">
        <v>43556</v>
      </c>
      <c r="P173" s="2">
        <v>0.83</v>
      </c>
      <c r="Q173" s="2">
        <f t="shared" si="24"/>
        <v>204.99013319743068</v>
      </c>
      <c r="R173" s="4">
        <f t="shared" si="29"/>
        <v>5.6235459903984708E-2</v>
      </c>
      <c r="S173" s="4">
        <v>4.2500000000000003E-2</v>
      </c>
      <c r="T173" s="4">
        <f t="shared" si="30"/>
        <v>4.9405755886835268E-2</v>
      </c>
      <c r="U173">
        <f t="shared" si="28"/>
        <v>205.37271511478841</v>
      </c>
      <c r="V173" s="43">
        <v>0.56999999999999995</v>
      </c>
      <c r="W173" s="42">
        <f t="shared" si="25"/>
        <v>1.0057</v>
      </c>
      <c r="X173" t="str">
        <f t="shared" si="26"/>
        <v>0.57</v>
      </c>
      <c r="Y173" t="str">
        <f t="shared" si="27"/>
        <v>0.83</v>
      </c>
      <c r="AA173" t="s">
        <v>47</v>
      </c>
      <c r="AB173">
        <v>98.268649999999994</v>
      </c>
      <c r="AC173">
        <v>1097.10248</v>
      </c>
      <c r="AD173">
        <v>1069.8141919824</v>
      </c>
      <c r="AE173">
        <v>2.550750235144477E-2</v>
      </c>
    </row>
    <row r="174" spans="1:31" x14ac:dyDescent="0.25">
      <c r="A174" s="1">
        <v>43952</v>
      </c>
      <c r="B174" s="4">
        <v>3.1451612903225803E-2</v>
      </c>
      <c r="C174" s="16">
        <f t="shared" si="21"/>
        <v>452.08476559463003</v>
      </c>
      <c r="D174" s="4"/>
      <c r="G174" s="4">
        <v>-3.1897043929361366E-2</v>
      </c>
      <c r="I174" s="1">
        <v>43221</v>
      </c>
      <c r="J174">
        <v>65.675600000000003</v>
      </c>
      <c r="K174" s="16">
        <f t="shared" si="22"/>
        <v>790.28670000000022</v>
      </c>
      <c r="L174" s="16">
        <v>774.88619095453998</v>
      </c>
      <c r="M174" s="4">
        <f t="shared" si="23"/>
        <v>1.9874543159027255E-2</v>
      </c>
      <c r="O174" s="1">
        <v>43586</v>
      </c>
      <c r="P174" s="2">
        <v>0.12</v>
      </c>
      <c r="Q174" s="2">
        <f t="shared" si="24"/>
        <v>205.23612135726762</v>
      </c>
      <c r="R174" s="4">
        <f t="shared" si="29"/>
        <v>4.9630712115007025E-2</v>
      </c>
      <c r="S174" s="4">
        <v>4.2500000000000003E-2</v>
      </c>
      <c r="T174" s="4">
        <f t="shared" si="30"/>
        <v>4.6583648774390696E-2</v>
      </c>
      <c r="U174">
        <f t="shared" si="28"/>
        <v>205.63969964443766</v>
      </c>
      <c r="V174" s="43">
        <v>0.13</v>
      </c>
      <c r="W174" s="42">
        <f t="shared" si="25"/>
        <v>1.0013000000000001</v>
      </c>
      <c r="X174" t="str">
        <f t="shared" si="26"/>
        <v>0.13</v>
      </c>
      <c r="Y174" t="str">
        <f t="shared" si="27"/>
        <v>0.12</v>
      </c>
      <c r="AA174">
        <v>43191</v>
      </c>
      <c r="AB174">
        <v>89.811890000000005</v>
      </c>
      <c r="AC174">
        <v>1104.0844200000001</v>
      </c>
      <c r="AD174">
        <v>1074.0757768655401</v>
      </c>
      <c r="AE174">
        <v>2.7939037245615795E-2</v>
      </c>
    </row>
    <row r="175" spans="1:31" x14ac:dyDescent="0.25">
      <c r="A175" s="1">
        <v>43983</v>
      </c>
      <c r="B175" s="4">
        <v>2.6749999999999999E-2</v>
      </c>
      <c r="C175" s="16">
        <f t="shared" si="21"/>
        <v>453.09253788460143</v>
      </c>
      <c r="D175" s="4"/>
      <c r="G175" s="4">
        <v>-3.8927811453181742E-2</v>
      </c>
      <c r="I175" s="1">
        <v>43252</v>
      </c>
      <c r="J175">
        <v>68.093940000000003</v>
      </c>
      <c r="K175" s="16">
        <f t="shared" si="22"/>
        <v>796.5856</v>
      </c>
      <c r="L175" s="16">
        <v>779.642064867876</v>
      </c>
      <c r="M175" s="4">
        <f t="shared" si="23"/>
        <v>2.1732453770302116E-2</v>
      </c>
      <c r="O175" s="1">
        <v>43617</v>
      </c>
      <c r="P175" s="2">
        <v>-0.41</v>
      </c>
      <c r="Q175" s="2">
        <f t="shared" si="24"/>
        <v>204.39465325970284</v>
      </c>
      <c r="R175" s="4">
        <f t="shared" si="29"/>
        <v>3.0589792167342589E-2</v>
      </c>
      <c r="S175" s="4">
        <v>4.2500000000000003E-2</v>
      </c>
      <c r="T175" s="4">
        <f t="shared" si="30"/>
        <v>3.366413898801901E-2</v>
      </c>
      <c r="U175">
        <f t="shared" si="28"/>
        <v>205.66026361440208</v>
      </c>
      <c r="V175" s="43">
        <v>0.01</v>
      </c>
      <c r="W175" s="42">
        <f t="shared" si="25"/>
        <v>1.0001</v>
      </c>
      <c r="X175" t="str">
        <f t="shared" si="26"/>
        <v>0.01</v>
      </c>
      <c r="Y175" t="str">
        <f t="shared" si="27"/>
        <v>-0.41</v>
      </c>
      <c r="AA175">
        <v>43221</v>
      </c>
      <c r="AB175">
        <v>90.202809999999999</v>
      </c>
      <c r="AC175">
        <v>1107.2240000000002</v>
      </c>
      <c r="AD175">
        <v>1078.3806740221601</v>
      </c>
      <c r="AE175">
        <v>2.6746886950653366E-2</v>
      </c>
    </row>
    <row r="176" spans="1:31" x14ac:dyDescent="0.25">
      <c r="A176" s="1">
        <v>44013</v>
      </c>
      <c r="B176" s="4">
        <v>2.2499999999999999E-2</v>
      </c>
      <c r="C176" s="16">
        <f t="shared" si="21"/>
        <v>453.94208639313507</v>
      </c>
      <c r="D176" s="4"/>
      <c r="G176" s="4">
        <v>-4.6619716185342726E-2</v>
      </c>
      <c r="I176" s="1">
        <v>43282</v>
      </c>
      <c r="J176">
        <v>66.347059999999999</v>
      </c>
      <c r="K176" s="16">
        <f t="shared" si="22"/>
        <v>801.53561999999988</v>
      </c>
      <c r="L176" s="16">
        <v>784.39304140858997</v>
      </c>
      <c r="M176" s="4">
        <f t="shared" si="23"/>
        <v>2.185457759878361E-2</v>
      </c>
      <c r="O176" s="1">
        <v>43647</v>
      </c>
      <c r="P176" s="2">
        <v>0.54</v>
      </c>
      <c r="Q176" s="2">
        <f t="shared" si="24"/>
        <v>205.49838438730524</v>
      </c>
      <c r="R176" s="4">
        <f t="shared" si="29"/>
        <v>3.5637158465813501E-2</v>
      </c>
      <c r="S176" s="4">
        <v>4.2500000000000003E-2</v>
      </c>
      <c r="T176" s="4">
        <f t="shared" si="30"/>
        <v>3.22217690143487E-2</v>
      </c>
      <c r="U176">
        <f t="shared" si="28"/>
        <v>206.05101811526944</v>
      </c>
      <c r="V176" s="43">
        <v>0.19</v>
      </c>
      <c r="W176" s="42">
        <f t="shared" si="25"/>
        <v>1.0019</v>
      </c>
      <c r="X176" t="str">
        <f t="shared" si="26"/>
        <v>0.19</v>
      </c>
      <c r="Y176" t="str">
        <f t="shared" si="27"/>
        <v>0.54</v>
      </c>
      <c r="AA176">
        <v>43252</v>
      </c>
      <c r="AB176">
        <v>92.601789999999994</v>
      </c>
      <c r="AC176">
        <v>1112.79117</v>
      </c>
      <c r="AD176">
        <v>1082.6953519036899</v>
      </c>
      <c r="AE176">
        <v>2.7797125057748638E-2</v>
      </c>
    </row>
    <row r="177" spans="1:31" x14ac:dyDescent="0.25">
      <c r="A177" s="1">
        <v>44044</v>
      </c>
      <c r="B177" s="4">
        <v>2.0403225806451614E-2</v>
      </c>
      <c r="C177" s="16">
        <f t="shared" si="21"/>
        <v>454.713909967446</v>
      </c>
      <c r="D177" s="4"/>
      <c r="G177" s="4">
        <v>-5.1214164534469427E-2</v>
      </c>
      <c r="I177" s="1">
        <v>43313</v>
      </c>
      <c r="J177">
        <v>72.696359999999999</v>
      </c>
      <c r="K177" s="16">
        <f t="shared" si="22"/>
        <v>809.73568000000012</v>
      </c>
      <c r="L177" s="16">
        <v>789.12797209712596</v>
      </c>
      <c r="M177" s="4">
        <f t="shared" si="23"/>
        <v>2.6114532283158954E-2</v>
      </c>
      <c r="O177" s="1">
        <v>43678</v>
      </c>
      <c r="P177" s="2">
        <v>-0.04</v>
      </c>
      <c r="Q177" s="2">
        <f t="shared" si="24"/>
        <v>205.41618503355033</v>
      </c>
      <c r="R177" s="4">
        <f t="shared" si="29"/>
        <v>3.6259162765192476E-2</v>
      </c>
      <c r="S177" s="4">
        <v>4.2500000000000003E-2</v>
      </c>
      <c r="T177" s="4">
        <f t="shared" si="30"/>
        <v>3.4288072225267419E-2</v>
      </c>
      <c r="U177">
        <f t="shared" si="28"/>
        <v>206.27767423519626</v>
      </c>
      <c r="V177" s="43">
        <v>0.11</v>
      </c>
      <c r="W177" s="42">
        <f t="shared" si="25"/>
        <v>1.0011000000000001</v>
      </c>
      <c r="X177" t="str">
        <f t="shared" si="26"/>
        <v>0.11</v>
      </c>
      <c r="Y177" t="str">
        <f t="shared" si="27"/>
        <v>-0.04</v>
      </c>
      <c r="AA177">
        <v>43282</v>
      </c>
      <c r="AB177">
        <v>90.306529999999995</v>
      </c>
      <c r="AC177">
        <v>1115.7920299999998</v>
      </c>
      <c r="AD177">
        <v>1086.98828197033</v>
      </c>
      <c r="AE177">
        <v>2.6498673911607099E-2</v>
      </c>
    </row>
    <row r="178" spans="1:31" x14ac:dyDescent="0.25">
      <c r="A178" s="1">
        <v>44075</v>
      </c>
      <c r="B178" s="4">
        <v>0.02</v>
      </c>
      <c r="C178" s="16">
        <f t="shared" si="21"/>
        <v>455.47176648405843</v>
      </c>
      <c r="D178" s="4"/>
      <c r="G178" s="4">
        <v>-5.0649193739134811E-2</v>
      </c>
      <c r="I178" s="1">
        <v>43344</v>
      </c>
      <c r="J178">
        <v>68.173519999999996</v>
      </c>
      <c r="K178" s="16">
        <f t="shared" si="22"/>
        <v>815.40120000000002</v>
      </c>
      <c r="L178" s="16">
        <v>793.83689921493999</v>
      </c>
      <c r="M178" s="4">
        <f t="shared" si="23"/>
        <v>2.7164649068827498E-2</v>
      </c>
      <c r="O178" s="1">
        <v>43709</v>
      </c>
      <c r="P178" s="2">
        <v>-0.04</v>
      </c>
      <c r="Q178" s="2">
        <f t="shared" si="24"/>
        <v>205.33401855953693</v>
      </c>
      <c r="R178" s="4">
        <f t="shared" si="29"/>
        <v>2.9973808392250723E-2</v>
      </c>
      <c r="S178" s="4">
        <v>4.2500000000000003E-2</v>
      </c>
      <c r="T178" s="4">
        <f t="shared" si="30"/>
        <v>2.8935466755948935E-2</v>
      </c>
      <c r="U178">
        <f t="shared" si="28"/>
        <v>206.19516316550218</v>
      </c>
      <c r="V178" s="43">
        <v>-0.04</v>
      </c>
      <c r="W178" s="42">
        <f t="shared" si="25"/>
        <v>0.99960000000000004</v>
      </c>
      <c r="X178" t="str">
        <f t="shared" si="26"/>
        <v>-0.04</v>
      </c>
      <c r="Y178" t="str">
        <f t="shared" si="27"/>
        <v>-0.04</v>
      </c>
      <c r="AA178">
        <v>43313</v>
      </c>
      <c r="AB178">
        <v>99.146460000000005</v>
      </c>
      <c r="AC178">
        <v>1123.7754599999998</v>
      </c>
      <c r="AD178">
        <v>1091.2300256696101</v>
      </c>
      <c r="AE178">
        <v>2.9824540715344541E-2</v>
      </c>
    </row>
    <row r="179" spans="1:31" x14ac:dyDescent="0.25">
      <c r="A179" s="1">
        <v>44105</v>
      </c>
      <c r="B179" s="4">
        <v>0.02</v>
      </c>
      <c r="C179" s="16">
        <f t="shared" si="21"/>
        <v>456.23088609486524</v>
      </c>
      <c r="D179" s="4"/>
      <c r="G179" s="4">
        <v>-4.974439396108981E-2</v>
      </c>
      <c r="I179" s="1">
        <v>43374</v>
      </c>
      <c r="J179">
        <v>74.391459999999995</v>
      </c>
      <c r="K179" s="16">
        <f t="shared" si="22"/>
        <v>824.32457999999997</v>
      </c>
      <c r="L179" s="16">
        <v>798.51129643431602</v>
      </c>
      <c r="M179" s="4">
        <f t="shared" si="23"/>
        <v>3.2326760661935475E-2</v>
      </c>
      <c r="O179" s="1">
        <v>43739</v>
      </c>
      <c r="P179" s="2">
        <v>-0.01</v>
      </c>
      <c r="Q179" s="2">
        <f t="shared" si="24"/>
        <v>205.31348515768099</v>
      </c>
      <c r="R179" s="4">
        <f t="shared" si="29"/>
        <v>2.2508748025626968E-2</v>
      </c>
      <c r="S179" s="4">
        <v>4.2500000000000003E-2</v>
      </c>
      <c r="T179" s="4">
        <f t="shared" si="30"/>
        <v>2.5350325756799075E-2</v>
      </c>
      <c r="U179">
        <f t="shared" si="28"/>
        <v>206.40135832866767</v>
      </c>
      <c r="V179" s="43">
        <v>0.1</v>
      </c>
      <c r="W179" s="42">
        <f t="shared" si="25"/>
        <v>1.0009999999999999</v>
      </c>
      <c r="X179" t="str">
        <f t="shared" si="26"/>
        <v>0.1</v>
      </c>
      <c r="Y179" t="str">
        <f t="shared" si="27"/>
        <v>-0.01</v>
      </c>
      <c r="AA179">
        <v>43344</v>
      </c>
      <c r="AB179">
        <v>92.002110000000002</v>
      </c>
      <c r="AC179">
        <v>1127.4652699999999</v>
      </c>
      <c r="AD179">
        <v>1095.3931447093601</v>
      </c>
      <c r="AE179">
        <v>2.9279099878929345E-2</v>
      </c>
    </row>
    <row r="180" spans="1:31" x14ac:dyDescent="0.25">
      <c r="A180" s="1">
        <v>44136</v>
      </c>
      <c r="B180" s="4">
        <v>0.02</v>
      </c>
      <c r="C180" s="16">
        <f t="shared" si="21"/>
        <v>456.99127090502338</v>
      </c>
      <c r="D180" s="4"/>
      <c r="G180" s="4">
        <v>-5.3463791443812678E-2</v>
      </c>
      <c r="I180" s="1">
        <v>43405</v>
      </c>
      <c r="J180">
        <v>76.28707</v>
      </c>
      <c r="K180" s="16">
        <f t="shared" si="22"/>
        <v>832.41595999999993</v>
      </c>
      <c r="L180" s="16">
        <v>803.14413486509102</v>
      </c>
      <c r="M180" s="4">
        <f t="shared" si="23"/>
        <v>3.6446540370771524E-2</v>
      </c>
      <c r="O180" s="1">
        <v>43770</v>
      </c>
      <c r="P180" s="2">
        <v>0.47</v>
      </c>
      <c r="Q180" s="2">
        <f t="shared" si="24"/>
        <v>206.27845853792206</v>
      </c>
      <c r="R180" s="4">
        <f t="shared" si="29"/>
        <v>3.1647458466908418E-2</v>
      </c>
      <c r="S180" s="4">
        <v>4.2500000000000003E-2</v>
      </c>
      <c r="T180" s="4">
        <f t="shared" si="30"/>
        <v>3.2748384024610555E-2</v>
      </c>
      <c r="U180">
        <f t="shared" si="28"/>
        <v>207.45400525614389</v>
      </c>
      <c r="V180" s="43">
        <v>0.51</v>
      </c>
      <c r="W180" s="42">
        <f t="shared" si="25"/>
        <v>1.0051000000000001</v>
      </c>
      <c r="X180" t="str">
        <f t="shared" si="26"/>
        <v>0.51</v>
      </c>
      <c r="Y180" t="str">
        <f t="shared" si="27"/>
        <v>0.47</v>
      </c>
      <c r="AA180">
        <v>43374</v>
      </c>
      <c r="AB180">
        <v>99.590969999999999</v>
      </c>
      <c r="AC180">
        <v>1134.6080599999998</v>
      </c>
      <c r="AD180">
        <v>1099.4524608970301</v>
      </c>
      <c r="AE180">
        <v>3.1975551789012062E-2</v>
      </c>
    </row>
    <row r="181" spans="1:31" x14ac:dyDescent="0.25">
      <c r="A181" s="1">
        <v>44166</v>
      </c>
      <c r="B181" s="4">
        <v>0.02</v>
      </c>
      <c r="C181" s="16">
        <f t="shared" si="21"/>
        <v>457.75292302319843</v>
      </c>
      <c r="D181" s="4">
        <f>C181/C169-1</f>
        <v>2.9293872997804504E-2</v>
      </c>
      <c r="G181" s="4">
        <v>-5.8493480914188864E-2</v>
      </c>
      <c r="I181" s="1">
        <v>43435</v>
      </c>
      <c r="J181">
        <v>87.847530000000006</v>
      </c>
      <c r="K181" s="16">
        <f t="shared" si="22"/>
        <v>839.03460000000007</v>
      </c>
      <c r="L181" s="16">
        <v>807.73017788818595</v>
      </c>
      <c r="M181" s="19">
        <f t="shared" si="23"/>
        <v>3.8756038797088985E-2</v>
      </c>
      <c r="O181" s="1">
        <v>43800</v>
      </c>
      <c r="P181" s="2">
        <v>1.1499999999999999</v>
      </c>
      <c r="Q181" s="2">
        <f t="shared" si="24"/>
        <v>208.65066081110817</v>
      </c>
      <c r="R181" s="4">
        <f t="shared" si="29"/>
        <v>4.0805310432154185E-2</v>
      </c>
      <c r="S181" s="4">
        <v>4.2500000000000003E-2</v>
      </c>
      <c r="T181" s="4">
        <f t="shared" si="30"/>
        <v>4.3060399841131858E-2</v>
      </c>
      <c r="U181">
        <f t="shared" si="28"/>
        <v>209.83972631658955</v>
      </c>
      <c r="V181" s="43">
        <v>1.1499999999999999</v>
      </c>
      <c r="W181" s="42">
        <f t="shared" si="25"/>
        <v>1.0115000000000001</v>
      </c>
      <c r="X181" t="str">
        <f t="shared" si="26"/>
        <v>1.15</v>
      </c>
      <c r="Y181" t="str">
        <f t="shared" si="27"/>
        <v>1.15</v>
      </c>
      <c r="AA181">
        <v>43405</v>
      </c>
      <c r="AB181">
        <v>103.08456</v>
      </c>
      <c r="AC181">
        <v>1141.4431099999999</v>
      </c>
      <c r="AD181">
        <v>1103.3850232709699</v>
      </c>
      <c r="AE181">
        <v>3.449211827817579E-2</v>
      </c>
    </row>
    <row r="182" spans="1:31" x14ac:dyDescent="0.25">
      <c r="A182" s="1">
        <v>44197</v>
      </c>
      <c r="B182" s="4">
        <v>0.02</v>
      </c>
      <c r="C182" s="16">
        <f t="shared" si="21"/>
        <v>458.51584456157047</v>
      </c>
      <c r="D182" s="4"/>
      <c r="G182" s="4">
        <v>-6.6678259321492878E-2</v>
      </c>
      <c r="I182" s="1">
        <v>43466</v>
      </c>
      <c r="J182">
        <v>70.212940000000003</v>
      </c>
      <c r="K182" s="16">
        <f t="shared" si="22"/>
        <v>844.01344999999992</v>
      </c>
      <c r="L182" s="16">
        <v>812.26622193070705</v>
      </c>
      <c r="M182" s="4">
        <f t="shared" si="23"/>
        <v>3.908475720414873E-2</v>
      </c>
      <c r="O182" s="1">
        <v>43831</v>
      </c>
      <c r="P182" s="2">
        <v>0.17</v>
      </c>
      <c r="Q182" s="2">
        <f t="shared" si="24"/>
        <v>209.00536693448706</v>
      </c>
      <c r="R182" s="4">
        <f t="shared" si="29"/>
        <v>4.1741286430744484E-2</v>
      </c>
      <c r="S182" s="4">
        <v>0.04</v>
      </c>
      <c r="T182" s="4">
        <f t="shared" si="30"/>
        <v>4.1916693262358473E-2</v>
      </c>
      <c r="U182">
        <f t="shared" si="28"/>
        <v>210.28038974185438</v>
      </c>
      <c r="V182" s="43">
        <v>0.21</v>
      </c>
      <c r="W182" s="42">
        <f t="shared" si="25"/>
        <v>1.0021</v>
      </c>
      <c r="X182" t="str">
        <f t="shared" si="26"/>
        <v>0.21</v>
      </c>
      <c r="Y182" t="str">
        <f t="shared" si="27"/>
        <v>0.17</v>
      </c>
      <c r="AA182">
        <v>43435</v>
      </c>
      <c r="AB182">
        <v>118.95968999999999</v>
      </c>
      <c r="AC182">
        <v>1146.2515199999998</v>
      </c>
      <c r="AD182">
        <v>1107.17032223058</v>
      </c>
      <c r="AE182">
        <v>3.5298270721964564E-2</v>
      </c>
    </row>
    <row r="183" spans="1:31" x14ac:dyDescent="0.25">
      <c r="A183" s="1">
        <v>44228</v>
      </c>
      <c r="B183" s="4">
        <v>0.02</v>
      </c>
      <c r="C183" s="16">
        <f t="shared" si="21"/>
        <v>459.28003763583979</v>
      </c>
      <c r="D183" s="4"/>
      <c r="G183" s="4">
        <v>-7.4208086684685287E-2</v>
      </c>
      <c r="I183" s="1">
        <v>43497</v>
      </c>
      <c r="J183">
        <v>65.99324</v>
      </c>
      <c r="K183" s="16">
        <f t="shared" si="22"/>
        <v>851.24369000000002</v>
      </c>
      <c r="L183" s="16">
        <v>816.75123701852306</v>
      </c>
      <c r="M183" s="4">
        <f t="shared" si="23"/>
        <v>4.223128342895268E-2</v>
      </c>
      <c r="O183" s="1">
        <v>43862</v>
      </c>
      <c r="P183" s="2">
        <v>0.16</v>
      </c>
      <c r="Q183" s="2">
        <f t="shared" si="24"/>
        <v>209.33977552158225</v>
      </c>
      <c r="R183" s="4">
        <f t="shared" si="29"/>
        <v>4.1845304532235339E-2</v>
      </c>
      <c r="S183" s="4">
        <v>0.04</v>
      </c>
      <c r="T183" s="4">
        <f t="shared" si="30"/>
        <v>4.004927312109352E-2</v>
      </c>
      <c r="U183">
        <f t="shared" si="28"/>
        <v>210.80609071620901</v>
      </c>
      <c r="V183" s="43">
        <v>0.25</v>
      </c>
      <c r="W183" s="42">
        <f t="shared" si="25"/>
        <v>1.0024999999999999</v>
      </c>
      <c r="X183" t="str">
        <f t="shared" si="26"/>
        <v>0.25</v>
      </c>
      <c r="Y183" t="str">
        <f t="shared" si="27"/>
        <v>0.16</v>
      </c>
      <c r="AA183">
        <v>43466</v>
      </c>
      <c r="AB183">
        <v>95.022459999999995</v>
      </c>
      <c r="AC183">
        <v>1150.4433999999999</v>
      </c>
      <c r="AD183">
        <v>1110.7904910979601</v>
      </c>
      <c r="AE183">
        <v>3.5697918932349644E-2</v>
      </c>
    </row>
    <row r="184" spans="1:31" x14ac:dyDescent="0.25">
      <c r="A184" s="1">
        <v>44256</v>
      </c>
      <c r="B184" s="4">
        <v>2.3387096774193549E-2</v>
      </c>
      <c r="C184" s="16">
        <f t="shared" si="21"/>
        <v>460.17513985972687</v>
      </c>
      <c r="D184" s="4"/>
      <c r="G184" s="4">
        <v>-6.8000661250179631E-2</v>
      </c>
      <c r="I184" s="1">
        <v>43525</v>
      </c>
      <c r="J184">
        <v>72.126279999999994</v>
      </c>
      <c r="K184" s="16">
        <f t="shared" si="22"/>
        <v>852.66555999999991</v>
      </c>
      <c r="L184" s="16">
        <v>821.18639760653195</v>
      </c>
      <c r="M184" s="4">
        <f t="shared" si="23"/>
        <v>3.8333760136819835E-2</v>
      </c>
      <c r="O184" s="1">
        <v>43891</v>
      </c>
      <c r="P184" s="2">
        <v>-0.32</v>
      </c>
      <c r="Q184" s="2">
        <f t="shared" si="24"/>
        <v>208.66988823991321</v>
      </c>
      <c r="R184" s="4">
        <f t="shared" si="29"/>
        <v>2.6399880962376221E-2</v>
      </c>
      <c r="S184" s="4">
        <v>0.04</v>
      </c>
      <c r="T184" s="4">
        <f t="shared" si="30"/>
        <v>3.3029585719382748E-2</v>
      </c>
      <c r="U184">
        <f t="shared" si="28"/>
        <v>210.95365497971034</v>
      </c>
      <c r="V184" s="43">
        <v>7.0000000000000007E-2</v>
      </c>
      <c r="W184" s="42">
        <f t="shared" si="25"/>
        <v>1.0006999999999999</v>
      </c>
      <c r="X184" t="str">
        <f t="shared" si="26"/>
        <v>0.07</v>
      </c>
      <c r="Y184" t="str">
        <f t="shared" si="27"/>
        <v>-0.32</v>
      </c>
      <c r="AA184">
        <v>43497</v>
      </c>
      <c r="AB184">
        <v>89.171670000000006</v>
      </c>
      <c r="AC184">
        <v>1158.16959</v>
      </c>
      <c r="AD184">
        <v>1114.23037716728</v>
      </c>
      <c r="AE184">
        <v>3.9434585282468307E-2</v>
      </c>
    </row>
    <row r="185" spans="1:31" x14ac:dyDescent="0.25">
      <c r="A185" s="1">
        <v>44287</v>
      </c>
      <c r="B185" s="4">
        <v>2.75E-2</v>
      </c>
      <c r="C185" s="16">
        <f t="shared" si="21"/>
        <v>461.22970788857202</v>
      </c>
      <c r="D185" s="4"/>
      <c r="G185" s="4">
        <v>-4.5371176576919525E-2</v>
      </c>
      <c r="I185" s="1">
        <v>43556</v>
      </c>
      <c r="J185">
        <v>71.919240000000002</v>
      </c>
      <c r="K185" s="16">
        <f t="shared" si="22"/>
        <v>859.76423999999997</v>
      </c>
      <c r="L185" s="16">
        <v>825.57527320261795</v>
      </c>
      <c r="M185" s="4">
        <f t="shared" si="23"/>
        <v>4.1412295047009176E-2</v>
      </c>
      <c r="O185" s="1">
        <v>43922</v>
      </c>
      <c r="P185" s="2">
        <v>-0.05</v>
      </c>
      <c r="Q185" s="2">
        <f t="shared" si="24"/>
        <v>208.56555329579325</v>
      </c>
      <c r="R185" s="4">
        <f t="shared" si="29"/>
        <v>1.7441913142809629E-2</v>
      </c>
      <c r="S185" s="4">
        <v>0.04</v>
      </c>
      <c r="T185" s="4">
        <f t="shared" si="30"/>
        <v>2.3990448447501977E-2</v>
      </c>
      <c r="U185">
        <f t="shared" si="28"/>
        <v>210.29969864927324</v>
      </c>
      <c r="V185" s="43">
        <v>-0.31</v>
      </c>
      <c r="W185" s="42">
        <f t="shared" si="25"/>
        <v>0.99690000000000001</v>
      </c>
      <c r="X185" t="str">
        <f t="shared" si="26"/>
        <v>-0.31</v>
      </c>
      <c r="Y185" t="str">
        <f t="shared" si="27"/>
        <v>-0.05</v>
      </c>
      <c r="AA185" t="s">
        <v>48</v>
      </c>
      <c r="AB185">
        <v>95.826689999999999</v>
      </c>
      <c r="AC185">
        <v>1155.7276300000001</v>
      </c>
      <c r="AD185">
        <v>1117.4775814069301</v>
      </c>
      <c r="AE185">
        <v>3.4228918082555453E-2</v>
      </c>
    </row>
    <row r="186" spans="1:31" x14ac:dyDescent="0.25">
      <c r="A186" s="1">
        <v>44317</v>
      </c>
      <c r="B186" s="4">
        <v>3.3790322580645162E-2</v>
      </c>
      <c r="C186" s="16">
        <f t="shared" si="21"/>
        <v>462.52846627301636</v>
      </c>
      <c r="D186" s="4"/>
      <c r="G186" s="4">
        <v>-3.0169936306555099E-2</v>
      </c>
      <c r="I186" s="1">
        <v>43586</v>
      </c>
      <c r="J186">
        <v>72.814620000000005</v>
      </c>
      <c r="K186" s="16">
        <f t="shared" si="22"/>
        <v>866.90325999999993</v>
      </c>
      <c r="L186" s="16">
        <v>829.923619675944</v>
      </c>
      <c r="M186" s="4">
        <f t="shared" si="23"/>
        <v>4.4557883939362018E-2</v>
      </c>
      <c r="O186" s="1">
        <v>43952</v>
      </c>
      <c r="P186" s="2">
        <v>-0.44</v>
      </c>
      <c r="Q186" s="2">
        <f t="shared" si="24"/>
        <v>207.64786486129177</v>
      </c>
      <c r="R186" s="4">
        <f t="shared" si="29"/>
        <v>1.1751067444048413E-2</v>
      </c>
      <c r="S186" s="4">
        <v>0.04</v>
      </c>
      <c r="T186" s="4">
        <f t="shared" si="30"/>
        <v>1.8774877402777612E-2</v>
      </c>
      <c r="U186">
        <f t="shared" si="28"/>
        <v>209.500559794406</v>
      </c>
      <c r="V186" s="43">
        <v>-0.38</v>
      </c>
      <c r="W186" s="42">
        <f t="shared" si="25"/>
        <v>0.99619999999999997</v>
      </c>
      <c r="X186" t="str">
        <f t="shared" si="26"/>
        <v>-0.38</v>
      </c>
      <c r="Y186" t="str">
        <f t="shared" si="27"/>
        <v>-0.44</v>
      </c>
      <c r="AA186">
        <v>43556</v>
      </c>
      <c r="AB186">
        <v>94.550799999999995</v>
      </c>
      <c r="AC186">
        <v>1160.4665400000001</v>
      </c>
      <c r="AD186">
        <v>1120.52275611952</v>
      </c>
      <c r="AE186">
        <v>3.5647454424584293E-2</v>
      </c>
    </row>
    <row r="187" spans="1:31" x14ac:dyDescent="0.25">
      <c r="A187" s="1">
        <v>44348</v>
      </c>
      <c r="B187" s="4">
        <v>3.85E-2</v>
      </c>
      <c r="C187" s="16">
        <f t="shared" si="21"/>
        <v>464.0124117689756</v>
      </c>
      <c r="D187" s="4"/>
      <c r="G187" s="4">
        <v>-2.0846668045933801E-2</v>
      </c>
      <c r="I187" s="1">
        <v>43617</v>
      </c>
      <c r="J187">
        <v>69.985200000000006</v>
      </c>
      <c r="K187" s="16">
        <f t="shared" si="22"/>
        <v>868.79451999999992</v>
      </c>
      <c r="L187" s="16">
        <v>834.23956683503104</v>
      </c>
      <c r="M187" s="4">
        <f t="shared" si="23"/>
        <v>4.1420899389925533E-2</v>
      </c>
      <c r="O187" s="1">
        <v>43983</v>
      </c>
      <c r="P187" s="2">
        <v>-0.01</v>
      </c>
      <c r="Q187" s="2">
        <f t="shared" si="24"/>
        <v>207.62710007480564</v>
      </c>
      <c r="R187" s="4">
        <f t="shared" si="29"/>
        <v>1.5814732741544324E-2</v>
      </c>
      <c r="S187" s="4">
        <v>0.04</v>
      </c>
      <c r="T187" s="4">
        <f t="shared" si="30"/>
        <v>2.1321559928032086E-2</v>
      </c>
      <c r="U187">
        <f t="shared" si="28"/>
        <v>210.04526124987143</v>
      </c>
      <c r="V187" s="43">
        <v>0.26</v>
      </c>
      <c r="W187" s="42">
        <f t="shared" si="25"/>
        <v>1.0025999999999999</v>
      </c>
      <c r="X187" t="str">
        <f t="shared" si="26"/>
        <v>0.26</v>
      </c>
      <c r="Y187" t="str">
        <f t="shared" si="27"/>
        <v>-0.01</v>
      </c>
      <c r="AA187">
        <v>43586</v>
      </c>
      <c r="AB187">
        <v>96.334109999999995</v>
      </c>
      <c r="AC187">
        <v>1166.5978400000001</v>
      </c>
      <c r="AD187">
        <v>1123.35920986105</v>
      </c>
      <c r="AE187">
        <v>3.8490475494742604E-2</v>
      </c>
    </row>
    <row r="188" spans="1:31" x14ac:dyDescent="0.25">
      <c r="A188" s="1">
        <v>44378</v>
      </c>
      <c r="B188" s="4">
        <v>4.2500000000000003E-2</v>
      </c>
      <c r="C188" s="16">
        <f t="shared" si="21"/>
        <v>465.65578906065741</v>
      </c>
      <c r="D188" s="4"/>
      <c r="G188" s="4">
        <v>-9.6928738757314312E-3</v>
      </c>
      <c r="I188" s="1">
        <v>43647</v>
      </c>
      <c r="J188">
        <v>73.081310000000002</v>
      </c>
      <c r="K188" s="16">
        <f t="shared" si="22"/>
        <v>875.52876999999989</v>
      </c>
      <c r="L188" s="16">
        <v>838.53381229259196</v>
      </c>
      <c r="M188" s="4">
        <f t="shared" si="23"/>
        <v>4.4118623679899001E-2</v>
      </c>
      <c r="O188" s="1">
        <v>44013</v>
      </c>
      <c r="P188" s="2">
        <v>0.37</v>
      </c>
      <c r="Q188" s="2">
        <f t="shared" si="24"/>
        <v>208.39532034508244</v>
      </c>
      <c r="R188" s="4">
        <f t="shared" si="29"/>
        <v>1.409712278962405E-2</v>
      </c>
      <c r="S188" s="4">
        <v>0.04</v>
      </c>
      <c r="T188" s="4">
        <f t="shared" si="30"/>
        <v>2.3054513967235346E-2</v>
      </c>
      <c r="U188">
        <f t="shared" si="28"/>
        <v>210.80142419037097</v>
      </c>
      <c r="V188" s="43">
        <v>0.36</v>
      </c>
      <c r="W188" s="42">
        <f t="shared" si="25"/>
        <v>1.0036</v>
      </c>
      <c r="X188" t="str">
        <f t="shared" si="26"/>
        <v>0.36</v>
      </c>
      <c r="Y188" t="str">
        <f t="shared" si="27"/>
        <v>0.37</v>
      </c>
      <c r="AA188">
        <v>43617</v>
      </c>
      <c r="AB188">
        <v>93.061199999999999</v>
      </c>
      <c r="AC188">
        <v>1167.0572500000001</v>
      </c>
      <c r="AD188">
        <v>1125.9830250614</v>
      </c>
      <c r="AE188">
        <v>3.647854721110054E-2</v>
      </c>
    </row>
    <row r="189" spans="1:31" x14ac:dyDescent="0.25">
      <c r="A189" s="1">
        <v>44409</v>
      </c>
      <c r="B189" s="4">
        <v>5.1209677419354838E-2</v>
      </c>
      <c r="C189" s="16">
        <f t="shared" si="21"/>
        <v>467.642962622845</v>
      </c>
      <c r="D189" s="4"/>
      <c r="G189" s="4">
        <v>-7.9150859712310701E-3</v>
      </c>
      <c r="I189" s="1">
        <v>43678</v>
      </c>
      <c r="J189">
        <v>71.422619999999995</v>
      </c>
      <c r="K189" s="16">
        <f t="shared" si="22"/>
        <v>874.25503000000003</v>
      </c>
      <c r="L189" s="16">
        <v>842.81945299697395</v>
      </c>
      <c r="M189" s="4">
        <f t="shared" si="23"/>
        <v>3.7298115143456413E-2</v>
      </c>
      <c r="O189" s="1">
        <v>44044</v>
      </c>
      <c r="P189" s="2">
        <v>0.33</v>
      </c>
      <c r="Q189" s="2">
        <f t="shared" si="24"/>
        <v>209.08302490222124</v>
      </c>
      <c r="R189" s="4">
        <f t="shared" si="29"/>
        <v>1.785078360827308E-2</v>
      </c>
      <c r="S189" s="4">
        <v>0.04</v>
      </c>
      <c r="T189" s="4">
        <f t="shared" si="30"/>
        <v>2.438302347493404E-2</v>
      </c>
      <c r="U189">
        <f t="shared" si="28"/>
        <v>211.30734760842785</v>
      </c>
      <c r="V189" s="43">
        <v>0.24</v>
      </c>
      <c r="W189" s="42">
        <f t="shared" si="25"/>
        <v>1.0024</v>
      </c>
      <c r="X189" t="str">
        <f t="shared" si="26"/>
        <v>0.24</v>
      </c>
      <c r="Y189" t="str">
        <f t="shared" si="27"/>
        <v>0.33</v>
      </c>
      <c r="AA189">
        <v>43647</v>
      </c>
      <c r="AB189">
        <v>97.068439999999995</v>
      </c>
      <c r="AC189">
        <v>1173.81916</v>
      </c>
      <c r="AD189">
        <v>1128.3932868330801</v>
      </c>
      <c r="AE189">
        <v>4.025712816354219E-2</v>
      </c>
    </row>
    <row r="190" spans="1:31" x14ac:dyDescent="0.25">
      <c r="A190" s="1">
        <v>44440</v>
      </c>
      <c r="B190" s="4">
        <v>5.5166666666666669E-2</v>
      </c>
      <c r="C190" s="16">
        <f t="shared" si="21"/>
        <v>469.79282124268053</v>
      </c>
      <c r="D190" s="4"/>
      <c r="G190" s="4">
        <v>-8.4211401592353841E-3</v>
      </c>
      <c r="I190" s="1">
        <v>43709</v>
      </c>
      <c r="J190">
        <v>67.425150000000002</v>
      </c>
      <c r="K190" s="16">
        <f t="shared" si="22"/>
        <v>873.50666000000001</v>
      </c>
      <c r="L190" s="16">
        <v>847.11215507622796</v>
      </c>
      <c r="M190" s="4">
        <f t="shared" si="23"/>
        <v>3.1158217675907294E-2</v>
      </c>
      <c r="O190" s="1">
        <v>44075</v>
      </c>
      <c r="P190" s="2">
        <v>0.68</v>
      </c>
      <c r="Q190" s="2">
        <f t="shared" si="24"/>
        <v>210.50478947155634</v>
      </c>
      <c r="R190" s="4">
        <f t="shared" si="29"/>
        <v>2.5182241833542784E-2</v>
      </c>
      <c r="S190" s="4">
        <v>0.04</v>
      </c>
      <c r="T190" s="4">
        <f t="shared" si="30"/>
        <v>3.1351615471362226E-2</v>
      </c>
      <c r="U190">
        <f t="shared" si="28"/>
        <v>212.65971463312178</v>
      </c>
      <c r="V190" s="43">
        <v>0.64</v>
      </c>
      <c r="W190" s="42">
        <f t="shared" si="25"/>
        <v>1.0064</v>
      </c>
      <c r="X190" t="str">
        <f t="shared" si="26"/>
        <v>0.64</v>
      </c>
      <c r="Y190" t="str">
        <f t="shared" si="27"/>
        <v>0.68</v>
      </c>
      <c r="AA190">
        <v>43678</v>
      </c>
      <c r="AB190">
        <v>96.117429999999999</v>
      </c>
      <c r="AC190">
        <v>1170.7901300000001</v>
      </c>
      <c r="AD190">
        <v>1130.59193266534</v>
      </c>
      <c r="AE190">
        <v>3.5555001033745169E-2</v>
      </c>
    </row>
    <row r="191" spans="1:31" x14ac:dyDescent="0.25">
      <c r="A191" s="1">
        <v>44470</v>
      </c>
      <c r="B191" s="4">
        <v>6.4435483870967744E-2</v>
      </c>
      <c r="C191" s="16">
        <f t="shared" si="21"/>
        <v>472.31543188900378</v>
      </c>
      <c r="D191" s="4"/>
      <c r="G191" s="4">
        <v>-7.6346921028436678E-3</v>
      </c>
      <c r="I191" s="1">
        <v>43739</v>
      </c>
      <c r="J191">
        <v>73.835250000000002</v>
      </c>
      <c r="K191" s="16">
        <f t="shared" si="22"/>
        <v>872.95044999999993</v>
      </c>
      <c r="L191" s="16">
        <v>851.42976802972396</v>
      </c>
      <c r="M191" s="4">
        <f t="shared" si="23"/>
        <v>2.5275933234136901E-2</v>
      </c>
      <c r="O191" s="1">
        <v>44105</v>
      </c>
      <c r="P191" s="2">
        <v>0.63</v>
      </c>
      <c r="Q191" s="2">
        <f t="shared" si="24"/>
        <v>211.83096964522713</v>
      </c>
      <c r="R191" s="4">
        <f t="shared" si="29"/>
        <v>3.1744064363530278E-2</v>
      </c>
      <c r="S191" s="4">
        <v>0.04</v>
      </c>
      <c r="T191" s="4">
        <f t="shared" si="30"/>
        <v>3.9182057307108664E-2</v>
      </c>
      <c r="U191">
        <f t="shared" si="28"/>
        <v>214.48858817896661</v>
      </c>
      <c r="V191" s="43">
        <v>0.86</v>
      </c>
      <c r="W191" s="42">
        <f t="shared" si="25"/>
        <v>1.0085999999999999</v>
      </c>
      <c r="X191" t="str">
        <f t="shared" si="26"/>
        <v>0.86</v>
      </c>
      <c r="Y191" t="str">
        <f t="shared" si="27"/>
        <v>0.63</v>
      </c>
      <c r="AA191">
        <v>43709</v>
      </c>
      <c r="AB191">
        <v>90.437129999999996</v>
      </c>
      <c r="AC191">
        <v>1169.22515</v>
      </c>
      <c r="AD191">
        <v>1132.5840546219699</v>
      </c>
      <c r="AE191">
        <v>3.2351766942595707E-2</v>
      </c>
    </row>
    <row r="192" spans="1:31" x14ac:dyDescent="0.25">
      <c r="A192" s="1">
        <v>44501</v>
      </c>
      <c r="B192" s="4">
        <v>7.7499999999999999E-2</v>
      </c>
      <c r="C192" s="16">
        <f t="shared" si="21"/>
        <v>475.3658023866202</v>
      </c>
      <c r="D192" s="4"/>
      <c r="G192" s="4">
        <v>-4.7410355444948869E-3</v>
      </c>
      <c r="I192" s="1">
        <v>43770</v>
      </c>
      <c r="J192">
        <v>77.78698</v>
      </c>
      <c r="K192" s="16">
        <f t="shared" si="22"/>
        <v>874.45036000000005</v>
      </c>
      <c r="L192" s="16">
        <v>855.79197454050802</v>
      </c>
      <c r="M192" s="4">
        <f t="shared" si="23"/>
        <v>2.1802477721890402E-2</v>
      </c>
      <c r="O192" s="1">
        <v>44136</v>
      </c>
      <c r="P192" s="2">
        <v>0.8</v>
      </c>
      <c r="Q192" s="2">
        <f t="shared" si="24"/>
        <v>213.52561740238895</v>
      </c>
      <c r="R192" s="4">
        <f t="shared" si="29"/>
        <v>3.5132892284700512E-2</v>
      </c>
      <c r="S192" s="4">
        <v>0.04</v>
      </c>
      <c r="T192" s="4">
        <f t="shared" si="30"/>
        <v>4.3110911966114607E-2</v>
      </c>
      <c r="U192">
        <f t="shared" si="28"/>
        <v>216.3975366137594</v>
      </c>
      <c r="V192" s="43">
        <v>0.89</v>
      </c>
      <c r="W192" s="42">
        <f t="shared" si="25"/>
        <v>1.0088999999999999</v>
      </c>
      <c r="X192" t="str">
        <f t="shared" si="26"/>
        <v>0.89</v>
      </c>
      <c r="Y192" t="str">
        <f t="shared" si="27"/>
        <v>0.8</v>
      </c>
      <c r="AA192">
        <v>43739</v>
      </c>
      <c r="AB192">
        <v>99.496690000000001</v>
      </c>
      <c r="AC192">
        <v>1169.13087</v>
      </c>
      <c r="AD192">
        <v>1134.37753630822</v>
      </c>
      <c r="AE192">
        <v>3.0636479108078173E-2</v>
      </c>
    </row>
    <row r="193" spans="1:31" x14ac:dyDescent="0.25">
      <c r="A193" s="1">
        <v>44531</v>
      </c>
      <c r="B193" s="4">
        <v>8.8629032258064525E-2</v>
      </c>
      <c r="C193" s="16">
        <f t="shared" si="21"/>
        <v>478.87673663946219</v>
      </c>
      <c r="D193" s="4">
        <f>C193/C181-1</f>
        <v>4.6146758554271861E-2</v>
      </c>
      <c r="G193" s="4">
        <v>-9.9715181126342769E-4</v>
      </c>
      <c r="I193" s="1">
        <v>43800</v>
      </c>
      <c r="J193">
        <v>92.776110000000003</v>
      </c>
      <c r="K193" s="16">
        <f t="shared" si="22"/>
        <v>879.37894000000006</v>
      </c>
      <c r="L193" s="16">
        <v>860.21995175217899</v>
      </c>
      <c r="M193" s="20">
        <f t="shared" si="23"/>
        <v>2.2272197022164153E-2</v>
      </c>
      <c r="O193" s="1">
        <v>44166</v>
      </c>
      <c r="P193" s="2">
        <v>1.85</v>
      </c>
      <c r="Q193" s="2">
        <f t="shared" si="24"/>
        <v>217.47584132433315</v>
      </c>
      <c r="R193" s="4">
        <f t="shared" si="29"/>
        <v>4.2296441712276422E-2</v>
      </c>
      <c r="S193" s="4">
        <v>0.04</v>
      </c>
      <c r="T193" s="4">
        <f t="shared" si="30"/>
        <v>4.5173415005098638E-2</v>
      </c>
      <c r="U193">
        <f t="shared" si="28"/>
        <v>219.31890335804516</v>
      </c>
      <c r="V193" s="43">
        <v>1.35</v>
      </c>
      <c r="W193" s="42">
        <f t="shared" si="25"/>
        <v>1.0135000000000001</v>
      </c>
      <c r="X193" t="str">
        <f t="shared" si="26"/>
        <v>1.35</v>
      </c>
      <c r="Y193" t="str">
        <f t="shared" si="27"/>
        <v>1.85</v>
      </c>
      <c r="AA193">
        <v>43770</v>
      </c>
      <c r="AB193">
        <v>104.82939</v>
      </c>
      <c r="AC193">
        <v>1170.8757000000001</v>
      </c>
      <c r="AD193">
        <v>1135.9828058498699</v>
      </c>
      <c r="AE193">
        <v>3.0716040745022977E-2</v>
      </c>
    </row>
    <row r="194" spans="1:31" x14ac:dyDescent="0.25">
      <c r="A194" s="1">
        <v>44562</v>
      </c>
      <c r="B194" s="4">
        <v>9.2499999999999999E-2</v>
      </c>
      <c r="C194" s="16">
        <f t="shared" si="21"/>
        <v>482.5680781510581</v>
      </c>
      <c r="D194" s="4"/>
      <c r="G194" s="4">
        <v>-1.8007025847561601E-3</v>
      </c>
      <c r="I194" s="1">
        <v>43831</v>
      </c>
      <c r="J194">
        <v>73.794430000000006</v>
      </c>
      <c r="K194" s="16">
        <f t="shared" si="22"/>
        <v>882.96042999999997</v>
      </c>
      <c r="L194" s="16">
        <v>864.73617250454697</v>
      </c>
      <c r="M194" s="4">
        <f t="shared" si="23"/>
        <v>2.1074933690665258E-2</v>
      </c>
      <c r="O194" s="1">
        <v>44197</v>
      </c>
      <c r="P194" s="2">
        <v>0.25</v>
      </c>
      <c r="Q194" s="2">
        <f t="shared" si="24"/>
        <v>218.01953092764396</v>
      </c>
      <c r="R194" s="4">
        <f t="shared" si="29"/>
        <v>4.3128863748185031E-2</v>
      </c>
      <c r="S194" s="4">
        <v>3.7499999999999999E-2</v>
      </c>
      <c r="T194" s="4">
        <f t="shared" si="30"/>
        <v>4.5590608265254406E-2</v>
      </c>
      <c r="U194">
        <f t="shared" si="28"/>
        <v>219.86720061644027</v>
      </c>
      <c r="V194" s="43">
        <v>0.25</v>
      </c>
      <c r="W194" s="42">
        <f t="shared" si="25"/>
        <v>1.0024999999999999</v>
      </c>
      <c r="X194" t="str">
        <f t="shared" si="26"/>
        <v>0.25</v>
      </c>
      <c r="Y194" t="str">
        <f t="shared" si="27"/>
        <v>0.25</v>
      </c>
      <c r="AA194">
        <v>43800</v>
      </c>
      <c r="AB194">
        <v>121.7461</v>
      </c>
      <c r="AC194">
        <v>1173.6621100000002</v>
      </c>
      <c r="AD194">
        <v>1137.4127047986301</v>
      </c>
      <c r="AE194">
        <v>3.1870054772939943E-2</v>
      </c>
    </row>
    <row r="195" spans="1:31" x14ac:dyDescent="0.25">
      <c r="A195" s="1">
        <v>44593</v>
      </c>
      <c r="B195" s="4">
        <v>0.10642857142857143</v>
      </c>
      <c r="C195" s="16">
        <f t="shared" ref="C195:C219" si="31">C194*(1+B195/12)</f>
        <v>486.8479974156121</v>
      </c>
      <c r="D195" s="4"/>
      <c r="G195" s="4">
        <v>-1.0665293989087622E-3</v>
      </c>
      <c r="I195" s="1">
        <v>43862</v>
      </c>
      <c r="J195">
        <v>68.729089999999999</v>
      </c>
      <c r="K195" s="16">
        <f t="shared" si="22"/>
        <v>885.69628</v>
      </c>
      <c r="L195" s="16">
        <v>869.36444019632995</v>
      </c>
      <c r="M195" s="4">
        <f t="shared" si="23"/>
        <v>1.8785953333888151E-2</v>
      </c>
      <c r="O195" s="1">
        <v>44228</v>
      </c>
      <c r="P195" s="2">
        <v>0.86</v>
      </c>
      <c r="Q195" s="2">
        <f t="shared" si="24"/>
        <v>219.89449889362169</v>
      </c>
      <c r="R195" s="4">
        <f t="shared" si="29"/>
        <v>5.041910141415662E-2</v>
      </c>
      <c r="S195" s="4">
        <v>3.7499999999999999E-2</v>
      </c>
      <c r="T195" s="4">
        <f t="shared" si="30"/>
        <v>5.1952805482628817E-2</v>
      </c>
      <c r="U195">
        <f t="shared" si="28"/>
        <v>221.75805854174163</v>
      </c>
      <c r="V195" s="43">
        <v>0.86</v>
      </c>
      <c r="W195" s="42">
        <f t="shared" si="25"/>
        <v>1.0085999999999999</v>
      </c>
      <c r="X195" t="str">
        <f t="shared" si="26"/>
        <v>0.86</v>
      </c>
      <c r="Y195" t="str">
        <f t="shared" si="27"/>
        <v>0.86</v>
      </c>
      <c r="AA195">
        <v>43831</v>
      </c>
      <c r="AB195">
        <v>96.005390000000006</v>
      </c>
      <c r="AC195">
        <v>1174.6450399999999</v>
      </c>
      <c r="AD195">
        <v>1138.6824978238899</v>
      </c>
      <c r="AE195">
        <v>3.1582589742827509E-2</v>
      </c>
    </row>
    <row r="196" spans="1:31" x14ac:dyDescent="0.25">
      <c r="A196" s="1">
        <v>44621</v>
      </c>
      <c r="B196" s="4">
        <v>0.11233870967741937</v>
      </c>
      <c r="C196" s="16">
        <f t="shared" si="31"/>
        <v>491.40565373550419</v>
      </c>
      <c r="D196" s="4"/>
      <c r="G196" s="4">
        <v>8.5429527527743788E-3</v>
      </c>
      <c r="I196" s="1">
        <v>43891</v>
      </c>
      <c r="J196">
        <v>65.362089999999995</v>
      </c>
      <c r="K196" s="16">
        <f t="shared" si="22"/>
        <v>878.93209000000002</v>
      </c>
      <c r="L196" s="16">
        <v>874.12982376982097</v>
      </c>
      <c r="M196" s="4">
        <f t="shared" si="23"/>
        <v>5.49376774432489E-3</v>
      </c>
      <c r="O196" s="1">
        <v>44256</v>
      </c>
      <c r="P196" s="2">
        <v>0.95</v>
      </c>
      <c r="Q196" s="2">
        <f t="shared" si="24"/>
        <v>221.98349663311112</v>
      </c>
      <c r="R196" s="4">
        <f t="shared" si="29"/>
        <v>6.3802250077840128E-2</v>
      </c>
      <c r="S196" s="4">
        <v>3.7499999999999999E-2</v>
      </c>
      <c r="T196" s="4">
        <f t="shared" si="30"/>
        <v>6.0993271283718897E-2</v>
      </c>
      <c r="U196">
        <f t="shared" si="28"/>
        <v>223.82040848617984</v>
      </c>
      <c r="V196" s="43">
        <v>0.93</v>
      </c>
      <c r="W196" s="42">
        <f t="shared" si="25"/>
        <v>1.0093000000000001</v>
      </c>
      <c r="X196" t="str">
        <f t="shared" si="26"/>
        <v>0.93</v>
      </c>
      <c r="Y196" t="str">
        <f t="shared" si="27"/>
        <v>0.95</v>
      </c>
      <c r="AA196">
        <v>43862</v>
      </c>
      <c r="AB196">
        <v>88.797089999999997</v>
      </c>
      <c r="AC196">
        <v>1174.27046</v>
      </c>
      <c r="AD196">
        <v>1139.8099669148201</v>
      </c>
      <c r="AE196">
        <v>3.0233542507489931E-2</v>
      </c>
    </row>
    <row r="197" spans="1:31" x14ac:dyDescent="0.25">
      <c r="A197" s="1">
        <v>44652</v>
      </c>
      <c r="B197" s="4">
        <v>0.11749999999999999</v>
      </c>
      <c r="C197" s="16">
        <f t="shared" si="31"/>
        <v>496.21733409499768</v>
      </c>
      <c r="D197" s="4"/>
      <c r="G197" s="4">
        <v>1.4394517551758064E-2</v>
      </c>
      <c r="I197" s="1">
        <v>43922</v>
      </c>
      <c r="J197">
        <v>54.516950000000001</v>
      </c>
      <c r="K197" s="16">
        <f t="shared" si="22"/>
        <v>861.52980000000002</v>
      </c>
      <c r="L197" s="16">
        <v>879.05852658118999</v>
      </c>
      <c r="M197" s="4">
        <f t="shared" si="23"/>
        <v>-1.99403407749905E-2</v>
      </c>
      <c r="O197" s="1">
        <v>44287</v>
      </c>
      <c r="P197" s="2">
        <v>0.19</v>
      </c>
      <c r="Q197" s="2">
        <f t="shared" si="24"/>
        <v>222.40526527671403</v>
      </c>
      <c r="R197" s="4">
        <f t="shared" si="29"/>
        <v>6.6356652679327777E-2</v>
      </c>
      <c r="S197" s="4">
        <v>3.7499999999999999E-2</v>
      </c>
      <c r="T197" s="4">
        <f t="shared" si="30"/>
        <v>6.7591885269032481E-2</v>
      </c>
      <c r="U197">
        <f t="shared" si="28"/>
        <v>224.51425175248701</v>
      </c>
      <c r="V197" s="43">
        <v>0.31</v>
      </c>
      <c r="W197" s="42">
        <f t="shared" si="25"/>
        <v>1.0031000000000001</v>
      </c>
      <c r="X197" t="str">
        <f t="shared" si="26"/>
        <v>0.31</v>
      </c>
      <c r="Y197" t="str">
        <f t="shared" si="27"/>
        <v>0.19</v>
      </c>
      <c r="AA197" t="s">
        <v>49</v>
      </c>
      <c r="AB197">
        <v>82.750540000000001</v>
      </c>
      <c r="AC197">
        <v>1161.1943100000001</v>
      </c>
      <c r="AD197">
        <v>1140.8153914593599</v>
      </c>
      <c r="AE197">
        <v>1.7863467387629575E-2</v>
      </c>
    </row>
    <row r="198" spans="1:31" x14ac:dyDescent="0.25">
      <c r="A198" s="1">
        <v>44682</v>
      </c>
      <c r="B198" s="4">
        <v>0.12620967741935485</v>
      </c>
      <c r="C198" s="16">
        <f t="shared" si="31"/>
        <v>501.43628656716618</v>
      </c>
      <c r="D198" s="4"/>
      <c r="G198" s="4">
        <v>1.8773439053923729E-2</v>
      </c>
      <c r="I198" s="1">
        <v>43952</v>
      </c>
      <c r="J198">
        <v>67.259270000000001</v>
      </c>
      <c r="K198" s="16">
        <f t="shared" si="22"/>
        <v>855.97444999999993</v>
      </c>
      <c r="L198" s="16">
        <v>884.17708533217501</v>
      </c>
      <c r="M198" s="4">
        <f t="shared" si="23"/>
        <v>-3.1897043929361366E-2</v>
      </c>
      <c r="O198" s="1">
        <v>44317</v>
      </c>
      <c r="P198" s="2">
        <v>1.04</v>
      </c>
      <c r="Q198" s="2">
        <f t="shared" si="24"/>
        <v>224.71828003559185</v>
      </c>
      <c r="R198" s="4">
        <f t="shared" si="29"/>
        <v>8.2208479175565286E-2</v>
      </c>
      <c r="S198" s="4">
        <v>3.7499999999999999E-2</v>
      </c>
      <c r="T198" s="4">
        <f t="shared" si="30"/>
        <v>8.0559022201129649E-2</v>
      </c>
      <c r="U198">
        <f t="shared" si="28"/>
        <v>226.37772004203265</v>
      </c>
      <c r="V198" s="43">
        <v>0.83</v>
      </c>
      <c r="W198" s="42">
        <f t="shared" si="25"/>
        <v>1.0083</v>
      </c>
      <c r="X198" t="str">
        <f t="shared" si="26"/>
        <v>0.83</v>
      </c>
      <c r="Y198" t="str">
        <f t="shared" si="27"/>
        <v>1.04</v>
      </c>
      <c r="AA198">
        <v>43922</v>
      </c>
      <c r="AB198">
        <v>68.251729999999995</v>
      </c>
      <c r="AC198">
        <v>1134.8952400000001</v>
      </c>
      <c r="AD198">
        <v>1141.7214439352399</v>
      </c>
      <c r="AE198">
        <v>-5.9788698648871466E-3</v>
      </c>
    </row>
    <row r="199" spans="1:31" x14ac:dyDescent="0.25">
      <c r="A199" s="1">
        <v>44713</v>
      </c>
      <c r="B199" s="4">
        <v>0.13</v>
      </c>
      <c r="C199" s="16">
        <f t="shared" si="31"/>
        <v>506.8685130049771</v>
      </c>
      <c r="D199" s="4"/>
      <c r="G199" s="4">
        <v>2.3037154118596571E-2</v>
      </c>
      <c r="I199" s="1">
        <v>43983</v>
      </c>
      <c r="J199">
        <v>68.894859999999994</v>
      </c>
      <c r="K199" s="16">
        <f t="shared" si="22"/>
        <v>854.88410999999996</v>
      </c>
      <c r="L199" s="16">
        <v>889.51081946572697</v>
      </c>
      <c r="M199" s="4">
        <f t="shared" si="23"/>
        <v>-3.8927811453181742E-2</v>
      </c>
      <c r="O199" s="1">
        <v>44348</v>
      </c>
      <c r="P199" s="2">
        <v>0.79</v>
      </c>
      <c r="Q199" s="2">
        <f t="shared" si="24"/>
        <v>226.49355444787304</v>
      </c>
      <c r="R199" s="4">
        <f t="shared" si="29"/>
        <v>9.0867012862338559E-2</v>
      </c>
      <c r="S199" s="4">
        <v>3.7499999999999999E-2</v>
      </c>
      <c r="T199" s="4">
        <f t="shared" si="30"/>
        <v>8.3468965707955256E-2</v>
      </c>
      <c r="U199">
        <f t="shared" si="28"/>
        <v>227.57752195825543</v>
      </c>
      <c r="V199" s="43">
        <v>0.53</v>
      </c>
      <c r="W199" s="42">
        <f t="shared" si="25"/>
        <v>1.0053000000000001</v>
      </c>
      <c r="X199" t="str">
        <f t="shared" si="26"/>
        <v>0.53</v>
      </c>
      <c r="Y199" t="str">
        <f t="shared" si="27"/>
        <v>0.79</v>
      </c>
      <c r="AA199">
        <v>43952</v>
      </c>
      <c r="AB199">
        <v>87.527670000000001</v>
      </c>
      <c r="AC199">
        <v>1126.0888</v>
      </c>
      <c r="AD199">
        <v>1142.55221202289</v>
      </c>
      <c r="AE199">
        <v>-1.440933013795624E-2</v>
      </c>
    </row>
    <row r="200" spans="1:31" x14ac:dyDescent="0.25">
      <c r="A200" s="1">
        <v>44743</v>
      </c>
      <c r="B200" s="4">
        <v>0.13250000000000001</v>
      </c>
      <c r="C200" s="16">
        <f t="shared" si="31"/>
        <v>512.46518616940705</v>
      </c>
      <c r="D200" s="4"/>
      <c r="G200" s="4">
        <v>2.3120043958677783E-2</v>
      </c>
      <c r="I200" s="1">
        <v>44013</v>
      </c>
      <c r="J200">
        <v>71.551770000000005</v>
      </c>
      <c r="K200" s="16">
        <f t="shared" si="22"/>
        <v>853.35457000000008</v>
      </c>
      <c r="L200" s="16">
        <v>895.08308959942497</v>
      </c>
      <c r="M200" s="4">
        <f t="shared" si="23"/>
        <v>-4.6619716185342726E-2</v>
      </c>
      <c r="O200" s="1">
        <v>44378</v>
      </c>
      <c r="P200" s="2">
        <v>1.23</v>
      </c>
      <c r="Q200" s="2">
        <f t="shared" si="24"/>
        <v>229.27942516758188</v>
      </c>
      <c r="R200" s="4">
        <f t="shared" si="29"/>
        <v>0.10021388574329504</v>
      </c>
      <c r="S200" s="4">
        <v>3.7499999999999999E-2</v>
      </c>
      <c r="T200" s="4">
        <f t="shared" si="30"/>
        <v>8.9946460520876403E-2</v>
      </c>
      <c r="U200">
        <f t="shared" si="28"/>
        <v>229.7622661690547</v>
      </c>
      <c r="V200" s="43">
        <v>0.96</v>
      </c>
      <c r="W200" s="42">
        <f t="shared" si="25"/>
        <v>1.0096000000000001</v>
      </c>
      <c r="X200" t="str">
        <f t="shared" si="26"/>
        <v>0.96</v>
      </c>
      <c r="Y200" t="str">
        <f t="shared" si="27"/>
        <v>1.23</v>
      </c>
      <c r="AA200">
        <v>43983</v>
      </c>
      <c r="AB200">
        <v>90.032870000000003</v>
      </c>
      <c r="AC200">
        <v>1123.0604699999999</v>
      </c>
      <c r="AD200">
        <v>1143.3313093607701</v>
      </c>
      <c r="AE200">
        <v>-1.7729628494214424E-2</v>
      </c>
    </row>
    <row r="201" spans="1:31" x14ac:dyDescent="0.25">
      <c r="A201" s="1">
        <v>44774</v>
      </c>
      <c r="B201" s="4">
        <v>0.13701612903225807</v>
      </c>
      <c r="C201" s="16">
        <f t="shared" si="31"/>
        <v>518.31651917546776</v>
      </c>
      <c r="D201" s="4"/>
      <c r="G201" s="4">
        <v>2.8819659143319621E-2</v>
      </c>
      <c r="I201" s="1">
        <v>44044</v>
      </c>
      <c r="J201">
        <v>72.843299999999999</v>
      </c>
      <c r="K201" s="16">
        <f t="shared" si="22"/>
        <v>854.77525000000003</v>
      </c>
      <c r="L201" s="16">
        <v>900.91485143282796</v>
      </c>
      <c r="M201" s="4">
        <f t="shared" si="23"/>
        <v>-5.1214164534469427E-2</v>
      </c>
      <c r="O201" s="1">
        <v>44409</v>
      </c>
      <c r="P201" s="2">
        <v>0.71</v>
      </c>
      <c r="Q201" s="2">
        <f t="shared" si="24"/>
        <v>230.90730908627174</v>
      </c>
      <c r="R201" s="4">
        <f t="shared" si="29"/>
        <v>0.10438094720629154</v>
      </c>
      <c r="S201" s="4">
        <v>3.7499999999999999E-2</v>
      </c>
      <c r="T201" s="4">
        <f t="shared" si="30"/>
        <v>9.6796682688954583E-2</v>
      </c>
      <c r="U201">
        <f t="shared" si="28"/>
        <v>231.76119788472545</v>
      </c>
      <c r="V201" s="43">
        <v>0.87</v>
      </c>
      <c r="W201" s="42">
        <f t="shared" si="25"/>
        <v>1.0086999999999999</v>
      </c>
      <c r="X201" t="str">
        <f t="shared" si="26"/>
        <v>0.87</v>
      </c>
      <c r="Y201" t="str">
        <f t="shared" si="27"/>
        <v>0.71</v>
      </c>
      <c r="AA201">
        <v>44013</v>
      </c>
      <c r="AB201">
        <v>92.1584</v>
      </c>
      <c r="AC201">
        <v>1118.1504299999999</v>
      </c>
      <c r="AD201">
        <v>1144.0812062948501</v>
      </c>
      <c r="AE201">
        <v>-2.2665153620369256E-2</v>
      </c>
    </row>
    <row r="202" spans="1:31" x14ac:dyDescent="0.25">
      <c r="A202" s="1">
        <v>44805</v>
      </c>
      <c r="B202" s="4">
        <v>0.13750000000000001</v>
      </c>
      <c r="C202" s="16">
        <f t="shared" si="31"/>
        <v>524.25556262435339</v>
      </c>
      <c r="D202" s="4"/>
      <c r="G202" s="4">
        <v>3.2585354815802783E-2</v>
      </c>
      <c r="I202" s="1">
        <v>44075</v>
      </c>
      <c r="J202">
        <v>73.734020000000001</v>
      </c>
      <c r="K202" s="16">
        <f t="shared" si="22"/>
        <v>861.08411999999998</v>
      </c>
      <c r="L202" s="16">
        <v>907.02416253427498</v>
      </c>
      <c r="M202" s="4">
        <f t="shared" si="23"/>
        <v>-5.0649193739134811E-2</v>
      </c>
      <c r="O202" s="1">
        <v>44440</v>
      </c>
      <c r="P202" s="2">
        <v>1.53</v>
      </c>
      <c r="Q202" s="2">
        <f t="shared" si="24"/>
        <v>234.44019091529171</v>
      </c>
      <c r="R202" s="4">
        <f t="shared" si="29"/>
        <v>0.11370478317297161</v>
      </c>
      <c r="S202" s="4">
        <v>3.7499999999999999E-2</v>
      </c>
      <c r="T202" s="4">
        <f t="shared" si="30"/>
        <v>0.10246375616866699</v>
      </c>
      <c r="U202">
        <f t="shared" si="28"/>
        <v>234.44962778018828</v>
      </c>
      <c r="V202" s="43">
        <v>1.1599999999999999</v>
      </c>
      <c r="W202" s="42">
        <f t="shared" si="25"/>
        <v>1.0116000000000001</v>
      </c>
      <c r="X202" t="str">
        <f t="shared" si="26"/>
        <v>1.16</v>
      </c>
      <c r="Y202" t="str">
        <f t="shared" si="27"/>
        <v>1.53</v>
      </c>
      <c r="AA202">
        <v>44044</v>
      </c>
      <c r="AB202">
        <v>94.308549999999997</v>
      </c>
      <c r="AC202">
        <v>1116.3415500000001</v>
      </c>
      <c r="AD202">
        <v>1144.82296547394</v>
      </c>
      <c r="AE202">
        <v>-2.4878445255637444E-2</v>
      </c>
    </row>
    <row r="203" spans="1:31" x14ac:dyDescent="0.25">
      <c r="A203" s="1">
        <v>44835</v>
      </c>
      <c r="B203" s="4">
        <v>0.13750000000000001</v>
      </c>
      <c r="C203" s="16">
        <f t="shared" si="31"/>
        <v>530.26265761275749</v>
      </c>
      <c r="D203" s="4"/>
      <c r="G203" s="4">
        <v>3.3012169910839377E-2</v>
      </c>
      <c r="I203" s="1">
        <v>44105</v>
      </c>
      <c r="J203">
        <v>80.739189999999994</v>
      </c>
      <c r="K203" s="16">
        <f t="shared" si="22"/>
        <v>867.98806000000002</v>
      </c>
      <c r="L203" s="16">
        <v>913.42587666297698</v>
      </c>
      <c r="M203" s="4">
        <f t="shared" si="23"/>
        <v>-4.974439396108981E-2</v>
      </c>
      <c r="O203" s="1">
        <v>44470</v>
      </c>
      <c r="P203" s="2">
        <v>1.1399999999999999</v>
      </c>
      <c r="Q203" s="2">
        <f t="shared" si="24"/>
        <v>237.11280909172606</v>
      </c>
      <c r="R203" s="4">
        <f t="shared" si="29"/>
        <v>0.11934911825613015</v>
      </c>
      <c r="S203" s="4">
        <v>3.7499999999999999E-2</v>
      </c>
      <c r="T203" s="4">
        <f t="shared" si="30"/>
        <v>0.10672670347092539</v>
      </c>
      <c r="U203">
        <f t="shared" si="28"/>
        <v>237.38024812744061</v>
      </c>
      <c r="V203" s="43">
        <v>1.25</v>
      </c>
      <c r="W203" s="42">
        <f t="shared" si="25"/>
        <v>1.0125</v>
      </c>
      <c r="X203" t="str">
        <f t="shared" si="26"/>
        <v>1.25</v>
      </c>
      <c r="Y203" t="str">
        <f t="shared" si="27"/>
        <v>1.14</v>
      </c>
      <c r="AA203">
        <v>44075</v>
      </c>
      <c r="AB203">
        <v>94.300430000000006</v>
      </c>
      <c r="AC203">
        <v>1120.2048500000001</v>
      </c>
      <c r="AD203">
        <v>1145.5758487984799</v>
      </c>
      <c r="AE203">
        <v>-2.2146939310120604E-2</v>
      </c>
    </row>
    <row r="204" spans="1:31" x14ac:dyDescent="0.25">
      <c r="A204" s="1">
        <v>44866</v>
      </c>
      <c r="B204" s="4">
        <v>0.13750000000000001</v>
      </c>
      <c r="C204" s="16">
        <f t="shared" si="31"/>
        <v>536.33858389790373</v>
      </c>
      <c r="D204" s="4"/>
      <c r="G204" s="4">
        <v>3.2831845165345021E-2</v>
      </c>
      <c r="I204" s="1">
        <v>44136</v>
      </c>
      <c r="J204">
        <v>80.736850000000004</v>
      </c>
      <c r="K204" s="16">
        <f t="shared" si="22"/>
        <v>870.93792999999994</v>
      </c>
      <c r="L204" s="16">
        <v>920.13165701130197</v>
      </c>
      <c r="M204" s="4">
        <f t="shared" si="23"/>
        <v>-5.3463791443812678E-2</v>
      </c>
      <c r="O204" s="1">
        <v>44501</v>
      </c>
      <c r="P204" s="2">
        <v>0.96</v>
      </c>
      <c r="Q204" s="2">
        <f t="shared" si="24"/>
        <v>239.38909205900666</v>
      </c>
      <c r="R204" s="4">
        <f t="shared" si="29"/>
        <v>0.12112586288828298</v>
      </c>
      <c r="S204" s="4">
        <v>3.7499999999999999E-2</v>
      </c>
      <c r="T204" s="4">
        <f t="shared" si="30"/>
        <v>0.10738488170670957</v>
      </c>
      <c r="U204">
        <f t="shared" si="28"/>
        <v>239.6353604846513</v>
      </c>
      <c r="V204" s="43">
        <v>0.95</v>
      </c>
      <c r="W204" s="42">
        <f t="shared" si="25"/>
        <v>1.0095000000000001</v>
      </c>
      <c r="X204" t="str">
        <f t="shared" si="26"/>
        <v>0.95</v>
      </c>
      <c r="Y204" t="str">
        <f t="shared" si="27"/>
        <v>0.96</v>
      </c>
      <c r="AA204">
        <v>44105</v>
      </c>
      <c r="AB204">
        <v>101.70334</v>
      </c>
      <c r="AC204">
        <v>1122.4114999999999</v>
      </c>
      <c r="AD204">
        <v>1146.3571402928201</v>
      </c>
      <c r="AE204">
        <v>-2.0888464380920228E-2</v>
      </c>
    </row>
    <row r="205" spans="1:31" x14ac:dyDescent="0.25">
      <c r="A205" s="1">
        <v>44896</v>
      </c>
      <c r="B205" s="4">
        <v>0.13750000000000001</v>
      </c>
      <c r="C205" s="16">
        <f t="shared" si="31"/>
        <v>542.48413017173391</v>
      </c>
      <c r="D205" s="4">
        <f>C205/C193-1</f>
        <v>0.13282623411326955</v>
      </c>
      <c r="G205" s="4">
        <v>3.3870650007641681E-2</v>
      </c>
      <c r="I205" s="1">
        <v>44166</v>
      </c>
      <c r="J205">
        <v>94.755960000000002</v>
      </c>
      <c r="K205" s="16">
        <f t="shared" si="22"/>
        <v>872.91777999999999</v>
      </c>
      <c r="L205" s="16">
        <v>927.15001150240596</v>
      </c>
      <c r="M205" s="20">
        <f t="shared" si="23"/>
        <v>-5.8493480914188864E-2</v>
      </c>
      <c r="O205" s="1">
        <v>44531</v>
      </c>
      <c r="P205" s="2">
        <v>0.83</v>
      </c>
      <c r="Q205" s="2">
        <f t="shared" si="24"/>
        <v>241.3760215230964</v>
      </c>
      <c r="R205" s="4">
        <f t="shared" si="29"/>
        <v>0.1098980928328479</v>
      </c>
      <c r="S205" s="4">
        <v>3.7499999999999999E-2</v>
      </c>
      <c r="T205" s="4">
        <f t="shared" si="30"/>
        <v>0.10061054893257881</v>
      </c>
      <c r="U205">
        <f t="shared" si="28"/>
        <v>241.38469861618927</v>
      </c>
      <c r="V205" s="43">
        <v>0.73</v>
      </c>
      <c r="W205" s="42">
        <f t="shared" si="25"/>
        <v>1.0073000000000001</v>
      </c>
      <c r="X205" t="str">
        <f t="shared" si="26"/>
        <v>0.73</v>
      </c>
      <c r="Y205" t="str">
        <f t="shared" si="27"/>
        <v>0.83</v>
      </c>
      <c r="AA205">
        <v>44136</v>
      </c>
      <c r="AB205">
        <v>100.98858</v>
      </c>
      <c r="AC205">
        <v>1118.57069</v>
      </c>
      <c r="AD205">
        <v>1147.18236210642</v>
      </c>
      <c r="AE205">
        <v>-2.4940822881798955E-2</v>
      </c>
    </row>
    <row r="206" spans="1:31" x14ac:dyDescent="0.25">
      <c r="A206" s="1">
        <v>44927</v>
      </c>
      <c r="B206" s="4">
        <v>0.13750000000000001</v>
      </c>
      <c r="C206" s="16">
        <f t="shared" si="31"/>
        <v>548.70009416328503</v>
      </c>
      <c r="D206" s="4"/>
      <c r="G206" s="4">
        <v>3.6490897093563554E-2</v>
      </c>
      <c r="I206" s="1">
        <v>44197</v>
      </c>
      <c r="J206">
        <v>73.052779999999998</v>
      </c>
      <c r="K206" s="16">
        <f t="shared" ref="K206:K240" si="32">SUM(J195:J206)</f>
        <v>872.17612999999994</v>
      </c>
      <c r="L206" s="16">
        <v>934.48603197215198</v>
      </c>
      <c r="M206" s="4">
        <f t="shared" ref="M206:M240" si="33">(K206-L206)/L206</f>
        <v>-6.6678259321492878E-2</v>
      </c>
      <c r="O206" s="1">
        <v>44562</v>
      </c>
      <c r="P206" s="2">
        <v>-0.53</v>
      </c>
      <c r="Q206" s="2">
        <f t="shared" si="24"/>
        <v>240.09672860902398</v>
      </c>
      <c r="R206" s="4">
        <f t="shared" si="29"/>
        <v>0.10126247674896138</v>
      </c>
      <c r="S206" s="4">
        <v>3.5000000000000003E-2</v>
      </c>
      <c r="T206" s="4">
        <f t="shared" si="30"/>
        <v>0.10379435999682274</v>
      </c>
      <c r="U206">
        <f t="shared" si="28"/>
        <v>242.68817598871672</v>
      </c>
      <c r="V206" s="43">
        <v>0.54</v>
      </c>
      <c r="W206" s="42">
        <f t="shared" si="25"/>
        <v>1.0054000000000001</v>
      </c>
      <c r="X206" t="str">
        <f t="shared" si="26"/>
        <v>0.54</v>
      </c>
      <c r="Y206" t="str">
        <f t="shared" si="27"/>
        <v>-0.53</v>
      </c>
      <c r="AA206">
        <v>44166</v>
      </c>
      <c r="AB206">
        <v>115.96037</v>
      </c>
      <c r="AC206">
        <v>1112.78496</v>
      </c>
      <c r="AD206">
        <v>1148.0653734970399</v>
      </c>
      <c r="AE206">
        <v>-3.073031755114676E-2</v>
      </c>
    </row>
    <row r="207" spans="1:31" x14ac:dyDescent="0.25">
      <c r="A207" s="1">
        <v>44958</v>
      </c>
      <c r="B207" s="4">
        <v>0.13750000000000001</v>
      </c>
      <c r="C207" s="16">
        <f t="shared" si="31"/>
        <v>554.98728274223936</v>
      </c>
      <c r="D207" s="4"/>
      <c r="G207" s="4">
        <v>3.5543600621684553E-2</v>
      </c>
      <c r="I207" s="1">
        <v>44228</v>
      </c>
      <c r="J207">
        <v>68.779520000000005</v>
      </c>
      <c r="K207" s="16">
        <f t="shared" si="32"/>
        <v>872.22655999999995</v>
      </c>
      <c r="L207" s="16">
        <v>942.14104428338101</v>
      </c>
      <c r="M207" s="4">
        <f t="shared" si="33"/>
        <v>-7.4208086684685287E-2</v>
      </c>
      <c r="O207" s="1">
        <v>44593</v>
      </c>
      <c r="P207" s="2">
        <v>0.43</v>
      </c>
      <c r="Q207" s="2">
        <f t="shared" ref="Q207:Q229" si="34">Q206*(1+P207/100)</f>
        <v>241.12914454204278</v>
      </c>
      <c r="R207" s="4">
        <f t="shared" si="29"/>
        <v>9.656742553934361E-2</v>
      </c>
      <c r="S207" s="4">
        <v>3.5000000000000003E-2</v>
      </c>
      <c r="T207" s="4">
        <f t="shared" si="30"/>
        <v>0.10543593400038742</v>
      </c>
      <c r="U207">
        <f t="shared" si="28"/>
        <v>245.13932656620275</v>
      </c>
      <c r="V207" s="43">
        <v>1.01</v>
      </c>
      <c r="W207" s="42">
        <f t="shared" ref="W207:W229" si="35">1+V207/100</f>
        <v>1.0101</v>
      </c>
      <c r="X207" t="str">
        <f t="shared" ref="X207:X229" si="36">SUBSTITUTE(V207,",",".")</f>
        <v>1.01</v>
      </c>
      <c r="Y207" t="str">
        <f t="shared" ref="Y207:Y229" si="37">SUBSTITUTE(P207,",",".")</f>
        <v>0.43</v>
      </c>
      <c r="AA207">
        <v>44197</v>
      </c>
      <c r="AB207">
        <v>87.171779999999998</v>
      </c>
      <c r="AC207">
        <v>1103.9513499999998</v>
      </c>
      <c r="AD207">
        <v>1149.01804680077</v>
      </c>
      <c r="AE207">
        <v>-3.9221922515708184E-2</v>
      </c>
    </row>
    <row r="208" spans="1:31" x14ac:dyDescent="0.25">
      <c r="A208" s="1">
        <v>44986</v>
      </c>
      <c r="B208" s="4">
        <v>0.13750000000000001</v>
      </c>
      <c r="C208" s="16">
        <f t="shared" si="31"/>
        <v>561.34651202366081</v>
      </c>
      <c r="D208" s="4"/>
      <c r="G208" s="4">
        <v>3.1168929195836668E-2</v>
      </c>
      <c r="I208" s="1">
        <v>44256</v>
      </c>
      <c r="J208">
        <v>78.639330000000001</v>
      </c>
      <c r="K208" s="16">
        <f t="shared" si="32"/>
        <v>885.50379999999996</v>
      </c>
      <c r="L208" s="16">
        <v>950.11204749116098</v>
      </c>
      <c r="M208" s="4">
        <f t="shared" si="33"/>
        <v>-6.8000661250179631E-2</v>
      </c>
      <c r="O208" s="1">
        <v>44621</v>
      </c>
      <c r="P208" s="2">
        <v>1.61</v>
      </c>
      <c r="Q208" s="2">
        <f t="shared" si="34"/>
        <v>245.01132376916968</v>
      </c>
      <c r="R208" s="4">
        <f t="shared" si="29"/>
        <v>0.10373666279398419</v>
      </c>
      <c r="S208" s="4">
        <v>3.5000000000000003E-2</v>
      </c>
      <c r="T208" s="4">
        <f t="shared" si="30"/>
        <v>0.11299315974556001</v>
      </c>
      <c r="U208">
        <f t="shared" ref="U208:U229" si="38">U207*W208</f>
        <v>249.11058365657524</v>
      </c>
      <c r="V208" s="43">
        <v>1.62</v>
      </c>
      <c r="W208" s="42">
        <f t="shared" si="35"/>
        <v>1.0162</v>
      </c>
      <c r="X208" t="str">
        <f t="shared" si="36"/>
        <v>1.62</v>
      </c>
      <c r="Y208" t="str">
        <f t="shared" si="37"/>
        <v>1.61</v>
      </c>
      <c r="AA208">
        <v>44228</v>
      </c>
      <c r="AB208">
        <v>80.820999999999998</v>
      </c>
      <c r="AC208">
        <v>1095.9752599999999</v>
      </c>
      <c r="AD208">
        <v>1150.04980432499</v>
      </c>
      <c r="AE208">
        <v>-4.7019306574056181E-2</v>
      </c>
    </row>
    <row r="209" spans="1:31" x14ac:dyDescent="0.25">
      <c r="A209" s="1">
        <v>45017</v>
      </c>
      <c r="B209" s="4">
        <v>0.13750000000000001</v>
      </c>
      <c r="C209" s="16">
        <f t="shared" si="31"/>
        <v>567.77860747393197</v>
      </c>
      <c r="D209" s="4"/>
      <c r="G209" s="4">
        <v>1.8671354403358341E-2</v>
      </c>
      <c r="I209" s="1">
        <v>44287</v>
      </c>
      <c r="J209">
        <v>83.921000000000006</v>
      </c>
      <c r="K209" s="16">
        <f t="shared" si="32"/>
        <v>914.90785000000005</v>
      </c>
      <c r="L209" s="16">
        <v>958.39118571692597</v>
      </c>
      <c r="M209" s="4">
        <f t="shared" si="33"/>
        <v>-4.5371176576919525E-2</v>
      </c>
      <c r="O209" s="1">
        <v>44652</v>
      </c>
      <c r="P209" s="2">
        <v>1.1299999999999999</v>
      </c>
      <c r="Q209" s="2">
        <f t="shared" si="34"/>
        <v>247.77995172776133</v>
      </c>
      <c r="R209" s="4">
        <f t="shared" si="29"/>
        <v>0.1140921120706222</v>
      </c>
      <c r="S209" s="4">
        <v>3.5000000000000003E-2</v>
      </c>
      <c r="T209" s="4">
        <f t="shared" si="30"/>
        <v>0.12131481132375899</v>
      </c>
      <c r="U209">
        <f t="shared" si="38"/>
        <v>251.75115584333491</v>
      </c>
      <c r="V209" s="43">
        <v>1.06</v>
      </c>
      <c r="W209" s="42">
        <f t="shared" si="35"/>
        <v>1.0105999999999999</v>
      </c>
      <c r="X209" t="str">
        <f t="shared" si="36"/>
        <v>1.06</v>
      </c>
      <c r="Y209" t="str">
        <f t="shared" si="37"/>
        <v>1.13</v>
      </c>
      <c r="AA209" t="s">
        <v>50</v>
      </c>
      <c r="AB209">
        <v>89.403260000000003</v>
      </c>
      <c r="AC209">
        <v>1102.62798</v>
      </c>
      <c r="AD209">
        <v>1151.1669387453401</v>
      </c>
      <c r="AE209">
        <v>-4.2165004146351562E-2</v>
      </c>
    </row>
    <row r="210" spans="1:31" x14ac:dyDescent="0.25">
      <c r="A210" s="1">
        <v>45047</v>
      </c>
      <c r="B210" s="4">
        <v>0.13750000000000001</v>
      </c>
      <c r="C210" s="16">
        <f t="shared" si="31"/>
        <v>574.28440401790408</v>
      </c>
      <c r="D210" s="4"/>
      <c r="G210" s="4">
        <v>6.3280441221563351E-3</v>
      </c>
      <c r="I210" s="1">
        <v>44317</v>
      </c>
      <c r="J210">
        <v>90.144229999999993</v>
      </c>
      <c r="K210" s="16">
        <f t="shared" si="32"/>
        <v>937.79281000000003</v>
      </c>
      <c r="L210" s="16">
        <v>966.96611613437096</v>
      </c>
      <c r="M210" s="4">
        <f t="shared" si="33"/>
        <v>-3.0169936306555099E-2</v>
      </c>
      <c r="O210" s="1">
        <v>44682</v>
      </c>
      <c r="P210" s="2">
        <v>0.47</v>
      </c>
      <c r="Q210" s="2">
        <f t="shared" si="34"/>
        <v>248.9445175008818</v>
      </c>
      <c r="R210" s="4">
        <f t="shared" si="29"/>
        <v>0.10780715063079382</v>
      </c>
      <c r="S210" s="4">
        <v>3.5000000000000003E-2</v>
      </c>
      <c r="T210" s="4">
        <f t="shared" si="30"/>
        <v>0.11731130708814907</v>
      </c>
      <c r="U210">
        <f t="shared" si="38"/>
        <v>252.93438627579857</v>
      </c>
      <c r="V210" s="43">
        <v>0.47</v>
      </c>
      <c r="W210" s="42">
        <f t="shared" si="35"/>
        <v>1.0046999999999999</v>
      </c>
      <c r="X210" t="str">
        <f t="shared" si="36"/>
        <v>0.47</v>
      </c>
      <c r="Y210" t="str">
        <f t="shared" si="37"/>
        <v>0.47</v>
      </c>
      <c r="AA210">
        <v>44287</v>
      </c>
      <c r="AB210">
        <v>96.336200000000005</v>
      </c>
      <c r="AC210">
        <v>1130.71245</v>
      </c>
      <c r="AD210">
        <v>1152.3719875607801</v>
      </c>
      <c r="AE210">
        <v>-1.879561269675319E-2</v>
      </c>
    </row>
    <row r="211" spans="1:31" x14ac:dyDescent="0.25">
      <c r="A211" s="1">
        <v>45078</v>
      </c>
      <c r="B211" s="4">
        <v>0.13750000000000001</v>
      </c>
      <c r="C211" s="16">
        <f t="shared" si="31"/>
        <v>580.86474614727592</v>
      </c>
      <c r="D211" s="4"/>
      <c r="G211" s="4">
        <v>-3.541217072081227E-3</v>
      </c>
      <c r="I211" s="1">
        <v>44348</v>
      </c>
      <c r="J211">
        <v>86.5809</v>
      </c>
      <c r="K211" s="16">
        <f t="shared" si="32"/>
        <v>955.47885000000019</v>
      </c>
      <c r="L211" s="16">
        <v>975.82147639040397</v>
      </c>
      <c r="M211" s="4">
        <f t="shared" si="33"/>
        <v>-2.0846668045933801E-2</v>
      </c>
      <c r="O211" s="1">
        <v>44713</v>
      </c>
      <c r="P211" s="2">
        <v>0.7</v>
      </c>
      <c r="Q211" s="2">
        <f t="shared" si="34"/>
        <v>250.68712912338796</v>
      </c>
      <c r="R211" s="4">
        <f t="shared" si="29"/>
        <v>0.10681793896736713</v>
      </c>
      <c r="S211" s="4">
        <v>3.5000000000000003E-2</v>
      </c>
      <c r="T211" s="4">
        <f t="shared" si="30"/>
        <v>0.11886729617590719</v>
      </c>
      <c r="U211">
        <f t="shared" si="38"/>
        <v>254.6290466638464</v>
      </c>
      <c r="V211" s="43">
        <v>0.67</v>
      </c>
      <c r="W211" s="42">
        <f t="shared" si="35"/>
        <v>1.0066999999999999</v>
      </c>
      <c r="X211" t="str">
        <f t="shared" si="36"/>
        <v>0.67</v>
      </c>
      <c r="Y211" t="str">
        <f t="shared" si="37"/>
        <v>0.7</v>
      </c>
      <c r="AA211">
        <v>44317</v>
      </c>
      <c r="AB211">
        <v>102.32223</v>
      </c>
      <c r="AC211">
        <v>1145.50701</v>
      </c>
      <c r="AD211">
        <v>1153.66411750927</v>
      </c>
      <c r="AE211">
        <v>-7.0706086680419082E-3</v>
      </c>
    </row>
    <row r="212" spans="1:31" x14ac:dyDescent="0.25">
      <c r="A212" s="1">
        <v>45108</v>
      </c>
      <c r="B212" s="4">
        <v>0.13750000000000001</v>
      </c>
      <c r="C212" s="16">
        <f t="shared" si="31"/>
        <v>587.52048803021341</v>
      </c>
      <c r="D212" s="4"/>
      <c r="G212" s="4">
        <v>-1.1129923430704972E-2</v>
      </c>
      <c r="I212" s="1">
        <v>44378</v>
      </c>
      <c r="J212">
        <v>91.465900000000005</v>
      </c>
      <c r="K212" s="16">
        <f t="shared" si="32"/>
        <v>975.39298000000008</v>
      </c>
      <c r="L212" s="16">
        <v>984.93987801275603</v>
      </c>
      <c r="M212" s="4">
        <f t="shared" si="33"/>
        <v>-9.6928738757314312E-3</v>
      </c>
      <c r="O212" s="1">
        <v>44743</v>
      </c>
      <c r="P212" s="2">
        <v>-0.59</v>
      </c>
      <c r="Q212" s="2">
        <f t="shared" si="34"/>
        <v>249.20807506155998</v>
      </c>
      <c r="R212" s="4">
        <f t="shared" si="29"/>
        <v>8.6918614173130182E-2</v>
      </c>
      <c r="S212" s="4">
        <v>3.5000000000000003E-2</v>
      </c>
      <c r="T212" s="4">
        <f t="shared" si="30"/>
        <v>0.10069235198287529</v>
      </c>
      <c r="U212">
        <f t="shared" si="38"/>
        <v>252.89756914653222</v>
      </c>
      <c r="V212" s="43">
        <v>-0.68</v>
      </c>
      <c r="W212" s="42">
        <f t="shared" si="35"/>
        <v>0.99319999999999997</v>
      </c>
      <c r="X212" t="str">
        <f t="shared" si="36"/>
        <v>-0.68</v>
      </c>
      <c r="Y212" t="str">
        <f t="shared" si="37"/>
        <v>-0.59</v>
      </c>
      <c r="AA212">
        <v>44348</v>
      </c>
      <c r="AB212">
        <v>97.221419999999995</v>
      </c>
      <c r="AC212">
        <v>1152.6955600000001</v>
      </c>
      <c r="AD212">
        <v>1155.0409911941699</v>
      </c>
      <c r="AE212">
        <v>-2.0306042920129777E-3</v>
      </c>
    </row>
    <row r="213" spans="1:31" x14ac:dyDescent="0.25">
      <c r="A213" s="1">
        <v>45139</v>
      </c>
      <c r="B213" s="4">
        <v>0.13282258064516131</v>
      </c>
      <c r="C213" s="16">
        <f t="shared" si="31"/>
        <v>594.02348698038645</v>
      </c>
      <c r="D213" s="4"/>
      <c r="G213" s="4">
        <v>-1.2884559752156544E-2</v>
      </c>
      <c r="I213" s="1">
        <v>44409</v>
      </c>
      <c r="J213">
        <v>83.882850000000005</v>
      </c>
      <c r="K213" s="16">
        <f t="shared" si="32"/>
        <v>986.43253000000004</v>
      </c>
      <c r="L213" s="16">
        <v>994.30251992663102</v>
      </c>
      <c r="M213" s="4">
        <f t="shared" si="33"/>
        <v>-7.9150859712310701E-3</v>
      </c>
      <c r="O213" s="1">
        <v>44774</v>
      </c>
      <c r="P213" s="2">
        <v>-0.9</v>
      </c>
      <c r="Q213" s="2">
        <f t="shared" si="34"/>
        <v>246.96520238600593</v>
      </c>
      <c r="R213" s="4">
        <f t="shared" si="29"/>
        <v>6.9542594226563059E-2</v>
      </c>
      <c r="S213" s="4">
        <v>3.5000000000000003E-2</v>
      </c>
      <c r="T213" s="4">
        <f t="shared" si="30"/>
        <v>8.7270605250061362E-2</v>
      </c>
      <c r="U213">
        <f t="shared" si="38"/>
        <v>251.9871378976047</v>
      </c>
      <c r="V213" s="43">
        <v>-0.36</v>
      </c>
      <c r="W213" s="42">
        <f t="shared" si="35"/>
        <v>0.99639999999999995</v>
      </c>
      <c r="X213" t="str">
        <f t="shared" si="36"/>
        <v>-0.36</v>
      </c>
      <c r="Y213" t="str">
        <f t="shared" si="37"/>
        <v>-0.9</v>
      </c>
      <c r="AA213">
        <v>44378</v>
      </c>
      <c r="AB213">
        <v>101.8355</v>
      </c>
      <c r="AC213">
        <v>1162.37266</v>
      </c>
      <c r="AD213">
        <v>1156.4997047530801</v>
      </c>
      <c r="AE213">
        <v>5.0782159500627052E-3</v>
      </c>
    </row>
    <row r="214" spans="1:31" x14ac:dyDescent="0.25">
      <c r="A214" s="1">
        <v>45170</v>
      </c>
      <c r="B214" s="4">
        <v>0.13083333333333333</v>
      </c>
      <c r="C214" s="16">
        <f t="shared" si="31"/>
        <v>600.49999305371421</v>
      </c>
      <c r="D214" s="4"/>
      <c r="G214" s="4">
        <v>-1.8702068316444224E-2</v>
      </c>
      <c r="I214" s="1">
        <v>44440</v>
      </c>
      <c r="J214">
        <v>82.737530000000007</v>
      </c>
      <c r="K214" s="16">
        <f t="shared" si="32"/>
        <v>995.43604000000005</v>
      </c>
      <c r="L214" s="16">
        <v>1003.88993787126</v>
      </c>
      <c r="M214" s="4">
        <f t="shared" si="33"/>
        <v>-8.4211401592353841E-3</v>
      </c>
      <c r="O214" s="1">
        <v>44805</v>
      </c>
      <c r="P214" s="2">
        <v>-0.46</v>
      </c>
      <c r="Q214" s="2">
        <f t="shared" si="34"/>
        <v>245.82916245503029</v>
      </c>
      <c r="R214" s="4">
        <f t="shared" si="29"/>
        <v>4.857943296869971E-2</v>
      </c>
      <c r="S214" s="4">
        <v>3.5000000000000003E-2</v>
      </c>
      <c r="T214" s="4">
        <f t="shared" si="30"/>
        <v>7.1685963320320401E-2</v>
      </c>
      <c r="U214">
        <f t="shared" si="38"/>
        <v>251.25637519770163</v>
      </c>
      <c r="V214" s="43">
        <v>-0.28999999999999998</v>
      </c>
      <c r="W214" s="42">
        <f t="shared" si="35"/>
        <v>0.99709999999999999</v>
      </c>
      <c r="X214" t="str">
        <f t="shared" si="36"/>
        <v>-0.29</v>
      </c>
      <c r="Y214" t="str">
        <f t="shared" si="37"/>
        <v>-0.46</v>
      </c>
      <c r="AA214">
        <v>44409</v>
      </c>
      <c r="AB214">
        <v>93.778130000000004</v>
      </c>
      <c r="AC214">
        <v>1161.8422399999999</v>
      </c>
      <c r="AD214">
        <v>1158.0371914464099</v>
      </c>
      <c r="AE214">
        <v>3.2857740508640009E-3</v>
      </c>
    </row>
    <row r="215" spans="1:31" x14ac:dyDescent="0.25">
      <c r="A215" s="1">
        <v>45200</v>
      </c>
      <c r="B215" s="4">
        <v>0.1275</v>
      </c>
      <c r="C215" s="16">
        <f t="shared" si="31"/>
        <v>606.88030547991002</v>
      </c>
      <c r="D215" s="4"/>
      <c r="G215" s="4">
        <v>-2.2365266227437706E-2</v>
      </c>
      <c r="I215" s="1">
        <v>44470</v>
      </c>
      <c r="J215">
        <v>91.246120000000005</v>
      </c>
      <c r="K215" s="16">
        <f t="shared" si="32"/>
        <v>1005.9429699999999</v>
      </c>
      <c r="L215" s="16">
        <v>1013.6821208831</v>
      </c>
      <c r="M215" s="4">
        <f t="shared" si="33"/>
        <v>-7.6346921028436678E-3</v>
      </c>
      <c r="O215" s="1">
        <v>44835</v>
      </c>
      <c r="P215" s="2">
        <v>0.76</v>
      </c>
      <c r="Q215" s="2">
        <f t="shared" si="34"/>
        <v>247.69746408968854</v>
      </c>
      <c r="R215" s="4">
        <f t="shared" si="29"/>
        <v>4.4639743582422176E-2</v>
      </c>
      <c r="S215" s="4">
        <v>3.5000000000000003E-2</v>
      </c>
      <c r="T215" s="4">
        <f t="shared" si="30"/>
        <v>6.4700158522380757E-2</v>
      </c>
      <c r="U215">
        <f t="shared" si="38"/>
        <v>252.73878781136807</v>
      </c>
      <c r="V215" s="43">
        <v>0.59</v>
      </c>
      <c r="W215" s="42">
        <f t="shared" si="35"/>
        <v>1.0059</v>
      </c>
      <c r="X215" t="str">
        <f t="shared" si="36"/>
        <v>0.59</v>
      </c>
      <c r="Y215" t="str">
        <f t="shared" si="37"/>
        <v>0.76</v>
      </c>
      <c r="AA215">
        <v>44440</v>
      </c>
      <c r="AB215">
        <v>90.631839999999997</v>
      </c>
      <c r="AC215">
        <v>1158.17365</v>
      </c>
      <c r="AD215">
        <v>1159.6507923787101</v>
      </c>
      <c r="AE215">
        <v>-1.2737820630296668E-3</v>
      </c>
    </row>
    <row r="216" spans="1:31" x14ac:dyDescent="0.25">
      <c r="A216" s="1">
        <v>45231</v>
      </c>
      <c r="B216" s="4">
        <v>0.12266666666666667</v>
      </c>
      <c r="C216" s="16">
        <f t="shared" si="31"/>
        <v>613.08397082481576</v>
      </c>
      <c r="D216" s="4"/>
      <c r="G216" s="4">
        <v>-2.5561842798032863E-2</v>
      </c>
      <c r="I216" s="1">
        <v>44501</v>
      </c>
      <c r="J216">
        <v>93.599149999999995</v>
      </c>
      <c r="K216" s="16">
        <f t="shared" si="32"/>
        <v>1018.80527</v>
      </c>
      <c r="L216" s="16">
        <v>1023.65847119737</v>
      </c>
      <c r="M216" s="4">
        <f t="shared" si="33"/>
        <v>-4.7410355444948869E-3</v>
      </c>
      <c r="O216" s="1">
        <v>44866</v>
      </c>
      <c r="P216" s="2">
        <v>0.42</v>
      </c>
      <c r="Q216" s="2">
        <f t="shared" si="34"/>
        <v>248.73779343886522</v>
      </c>
      <c r="R216" s="4">
        <f t="shared" si="29"/>
        <v>3.9052328155178451E-2</v>
      </c>
      <c r="S216" s="4">
        <v>3.5000000000000003E-2</v>
      </c>
      <c r="T216" s="4">
        <f t="shared" si="30"/>
        <v>5.9004882785856694E-2</v>
      </c>
      <c r="U216">
        <f t="shared" si="38"/>
        <v>253.77501684139469</v>
      </c>
      <c r="V216" s="43">
        <v>0.41</v>
      </c>
      <c r="W216" s="42">
        <f t="shared" si="35"/>
        <v>1.0041</v>
      </c>
      <c r="X216" t="str">
        <f t="shared" si="36"/>
        <v>0.41</v>
      </c>
      <c r="Y216" t="str">
        <f t="shared" si="37"/>
        <v>0.42</v>
      </c>
      <c r="AA216">
        <v>44470</v>
      </c>
      <c r="AB216">
        <v>99.192740000000001</v>
      </c>
      <c r="AC216">
        <v>1155.6630499999999</v>
      </c>
      <c r="AD216">
        <v>1161.33811289397</v>
      </c>
      <c r="AE216">
        <v>-4.8866586147149381E-3</v>
      </c>
    </row>
    <row r="217" spans="1:31" x14ac:dyDescent="0.25">
      <c r="A217" s="1">
        <v>45261</v>
      </c>
      <c r="B217" s="4">
        <v>0.11959677419354837</v>
      </c>
      <c r="C217" s="16">
        <f t="shared" si="31"/>
        <v>619.19420959318404</v>
      </c>
      <c r="D217" s="4">
        <f>C217/C205-1</f>
        <v>0.14140520460417161</v>
      </c>
      <c r="I217" s="1">
        <v>44531</v>
      </c>
      <c r="J217">
        <v>108.71769</v>
      </c>
      <c r="K217" s="16">
        <f t="shared" si="32"/>
        <v>1032.7670000000001</v>
      </c>
      <c r="L217" s="16">
        <v>1033.7978534020001</v>
      </c>
      <c r="M217" s="19">
        <f t="shared" si="33"/>
        <v>-9.9715181126342769E-4</v>
      </c>
      <c r="O217" s="1">
        <v>44896</v>
      </c>
      <c r="P217" s="2">
        <v>0.56000000000000005</v>
      </c>
      <c r="Q217" s="2">
        <f t="shared" si="34"/>
        <v>250.13072508212289</v>
      </c>
      <c r="R217" s="4">
        <f t="shared" si="29"/>
        <v>3.6269980355893683E-2</v>
      </c>
      <c r="S217" s="4">
        <v>3.5000000000000003E-2</v>
      </c>
      <c r="T217" s="4">
        <f t="shared" si="30"/>
        <v>5.7848419596077783E-2</v>
      </c>
      <c r="U217">
        <f t="shared" si="38"/>
        <v>255.34842194581134</v>
      </c>
      <c r="V217" s="43">
        <v>0.62</v>
      </c>
      <c r="W217" s="42">
        <f t="shared" si="35"/>
        <v>1.0062</v>
      </c>
      <c r="X217" t="str">
        <f t="shared" si="36"/>
        <v>0.62</v>
      </c>
      <c r="Y217" t="str">
        <f t="shared" si="37"/>
        <v>0.56</v>
      </c>
      <c r="AA217">
        <v>44501</v>
      </c>
      <c r="AB217">
        <v>101.08973</v>
      </c>
      <c r="AC217">
        <v>1155.7642000000001</v>
      </c>
      <c r="AD217">
        <v>1163.09665575691</v>
      </c>
      <c r="AE217">
        <v>-6.3042531509456901E-3</v>
      </c>
    </row>
    <row r="218" spans="1:31" x14ac:dyDescent="0.25">
      <c r="A218" s="1">
        <v>45292</v>
      </c>
      <c r="B218" s="4">
        <v>0.11749999999999999</v>
      </c>
      <c r="C218" s="16">
        <f t="shared" si="31"/>
        <v>625.25715289545064</v>
      </c>
      <c r="D218" s="4"/>
      <c r="I218" s="1">
        <v>44562</v>
      </c>
      <c r="J218">
        <v>82.484499999999997</v>
      </c>
      <c r="K218" s="16">
        <f t="shared" si="32"/>
        <v>1042.1987200000001</v>
      </c>
      <c r="L218" s="16">
        <v>1044.0787953855399</v>
      </c>
      <c r="M218" s="4">
        <f t="shared" si="33"/>
        <v>-1.8007025847561601E-3</v>
      </c>
      <c r="O218" s="1">
        <v>44927</v>
      </c>
      <c r="P218" s="2">
        <v>0.23</v>
      </c>
      <c r="Q218" s="2">
        <f t="shared" si="34"/>
        <v>250.70602574981177</v>
      </c>
      <c r="R218" s="4">
        <f t="shared" ref="R218:R229" si="39">Q218/Q206-1</f>
        <v>4.4187595567218629E-2</v>
      </c>
      <c r="S218" s="4">
        <v>3.2500000000000001E-2</v>
      </c>
      <c r="T218" s="4">
        <f t="shared" ref="T218:T229" si="40">U218/U206-1</f>
        <v>5.7743202924146475E-2</v>
      </c>
      <c r="U218">
        <f t="shared" si="38"/>
        <v>256.70176858212415</v>
      </c>
      <c r="V218" s="43">
        <v>0.53</v>
      </c>
      <c r="W218" s="42">
        <f t="shared" si="35"/>
        <v>1.0053000000000001</v>
      </c>
      <c r="X218" t="str">
        <f t="shared" si="36"/>
        <v>0.53</v>
      </c>
      <c r="Y218" t="str">
        <f t="shared" si="37"/>
        <v>0.23</v>
      </c>
      <c r="AA218">
        <v>44531</v>
      </c>
      <c r="AB218">
        <v>117.364</v>
      </c>
      <c r="AC218">
        <v>1157.1678300000001</v>
      </c>
      <c r="AD218">
        <v>1164.9235296305999</v>
      </c>
      <c r="AE218">
        <v>-6.65768991125035E-3</v>
      </c>
    </row>
    <row r="219" spans="1:31" x14ac:dyDescent="0.25">
      <c r="A219" s="1">
        <v>45323</v>
      </c>
      <c r="B219" s="4">
        <v>0.1125</v>
      </c>
      <c r="C219" s="16">
        <f t="shared" si="31"/>
        <v>631.1189387038454</v>
      </c>
      <c r="D219" s="4"/>
      <c r="I219" s="1">
        <v>44593</v>
      </c>
      <c r="J219">
        <v>79.935919999999996</v>
      </c>
      <c r="K219" s="16">
        <f t="shared" si="32"/>
        <v>1053.3551199999999</v>
      </c>
      <c r="L219" s="16">
        <v>1054.4797536578301</v>
      </c>
      <c r="M219" s="4">
        <f t="shared" si="33"/>
        <v>-1.0665293989087622E-3</v>
      </c>
      <c r="O219" s="1">
        <v>44958</v>
      </c>
      <c r="P219" s="2">
        <v>0.75</v>
      </c>
      <c r="Q219" s="2">
        <f t="shared" si="34"/>
        <v>252.58632094293537</v>
      </c>
      <c r="R219" s="4">
        <f t="shared" si="39"/>
        <v>4.7514689369683172E-2</v>
      </c>
      <c r="S219" s="4">
        <v>3.2500000000000001E-2</v>
      </c>
      <c r="T219" s="4">
        <f t="shared" si="40"/>
        <v>5.5963019333441499E-2</v>
      </c>
      <c r="U219">
        <f t="shared" si="38"/>
        <v>258.858063438214</v>
      </c>
      <c r="V219" s="43">
        <v>0.84</v>
      </c>
      <c r="W219" s="42">
        <f t="shared" si="35"/>
        <v>1.0084</v>
      </c>
      <c r="X219" t="str">
        <f t="shared" si="36"/>
        <v>0.84</v>
      </c>
      <c r="Y219" t="str">
        <f t="shared" si="37"/>
        <v>0.75</v>
      </c>
      <c r="AA219">
        <v>44562</v>
      </c>
      <c r="AB219">
        <v>86.877799999999993</v>
      </c>
      <c r="AC219">
        <v>1156.8738499999999</v>
      </c>
      <c r="AD219">
        <v>1166.81533397983</v>
      </c>
      <c r="AE219">
        <v>-8.5201862628263448E-3</v>
      </c>
    </row>
    <row r="220" spans="1:31" x14ac:dyDescent="0.25">
      <c r="I220" s="1">
        <v>44621</v>
      </c>
      <c r="J220">
        <v>99.361329999999995</v>
      </c>
      <c r="K220" s="16">
        <f t="shared" si="32"/>
        <v>1074.0771200000001</v>
      </c>
      <c r="L220" s="16">
        <v>1064.9790542567901</v>
      </c>
      <c r="M220" s="4">
        <f t="shared" si="33"/>
        <v>8.5429527527743788E-3</v>
      </c>
      <c r="O220" s="1">
        <v>44986</v>
      </c>
      <c r="P220" s="2">
        <v>1.25</v>
      </c>
      <c r="Q220" s="2">
        <f t="shared" si="34"/>
        <v>255.74364995472206</v>
      </c>
      <c r="R220" s="4">
        <f t="shared" si="39"/>
        <v>4.380338843303222E-2</v>
      </c>
      <c r="S220" s="4">
        <v>3.2500000000000001E-2</v>
      </c>
      <c r="T220" s="4">
        <f t="shared" si="40"/>
        <v>4.6506944273478679E-2</v>
      </c>
      <c r="U220">
        <f t="shared" si="38"/>
        <v>260.69595568862536</v>
      </c>
      <c r="V220" s="43">
        <v>0.71</v>
      </c>
      <c r="W220" s="42">
        <f t="shared" si="35"/>
        <v>1.0071000000000001</v>
      </c>
      <c r="X220" t="str">
        <f t="shared" si="36"/>
        <v>0.71</v>
      </c>
      <c r="Y220" t="str">
        <f t="shared" si="37"/>
        <v>1.25</v>
      </c>
      <c r="AA220">
        <v>44593</v>
      </c>
      <c r="AB220">
        <v>83.427199999999999</v>
      </c>
      <c r="AC220">
        <v>1159.4800500000001</v>
      </c>
      <c r="AD220">
        <v>1168.76812967912</v>
      </c>
      <c r="AE220">
        <v>-7.9468967738449935E-3</v>
      </c>
    </row>
    <row r="221" spans="1:31" x14ac:dyDescent="0.25">
      <c r="I221" s="1">
        <v>44652</v>
      </c>
      <c r="J221">
        <v>100.88092</v>
      </c>
      <c r="K221" s="16">
        <f t="shared" si="32"/>
        <v>1091.0370399999999</v>
      </c>
      <c r="L221" s="16">
        <v>1075.5549454597001</v>
      </c>
      <c r="M221" s="4">
        <f t="shared" si="33"/>
        <v>1.4394517551758064E-2</v>
      </c>
      <c r="O221" s="1">
        <v>45017</v>
      </c>
      <c r="P221" s="2">
        <v>0.49</v>
      </c>
      <c r="Q221" s="2">
        <f t="shared" si="34"/>
        <v>256.99679383950019</v>
      </c>
      <c r="R221" s="4">
        <f t="shared" si="39"/>
        <v>3.7197691126623189E-2</v>
      </c>
      <c r="S221" s="4">
        <v>3.2500000000000001E-2</v>
      </c>
      <c r="T221" s="4">
        <f t="shared" si="40"/>
        <v>4.1847057820648237E-2</v>
      </c>
      <c r="U221">
        <f t="shared" si="38"/>
        <v>262.28620101832598</v>
      </c>
      <c r="V221" s="43">
        <v>0.61</v>
      </c>
      <c r="W221" s="42">
        <f t="shared" si="35"/>
        <v>1.0061</v>
      </c>
      <c r="X221" t="str">
        <f t="shared" si="36"/>
        <v>0.61</v>
      </c>
      <c r="Y221" t="str">
        <f t="shared" si="37"/>
        <v>0.49</v>
      </c>
      <c r="AA221" t="s">
        <v>51</v>
      </c>
      <c r="AB221">
        <v>100.36605</v>
      </c>
      <c r="AC221">
        <v>1170.4428400000002</v>
      </c>
      <c r="AD221">
        <v>1170.7772872221699</v>
      </c>
      <c r="AE221">
        <v>-2.8566254728365189E-4</v>
      </c>
    </row>
    <row r="222" spans="1:31" x14ac:dyDescent="0.25">
      <c r="I222" s="1">
        <v>44682</v>
      </c>
      <c r="J222">
        <v>105.68495</v>
      </c>
      <c r="K222" s="16">
        <f t="shared" si="32"/>
        <v>1106.5777600000001</v>
      </c>
      <c r="L222" s="16">
        <v>1086.18630755393</v>
      </c>
      <c r="M222" s="4">
        <f t="shared" si="33"/>
        <v>1.8773439053923729E-2</v>
      </c>
      <c r="O222" s="1">
        <v>45047</v>
      </c>
      <c r="P222" s="2">
        <v>0.08</v>
      </c>
      <c r="Q222" s="2">
        <f t="shared" si="34"/>
        <v>257.20239127457177</v>
      </c>
      <c r="R222" s="4">
        <f t="shared" si="39"/>
        <v>3.317154302729608E-2</v>
      </c>
      <c r="S222" s="4">
        <v>3.2500000000000001E-2</v>
      </c>
      <c r="T222" s="4">
        <f t="shared" si="40"/>
        <v>3.9358321940515362E-2</v>
      </c>
      <c r="U222">
        <f t="shared" si="38"/>
        <v>262.88945928066812</v>
      </c>
      <c r="V222" s="43">
        <v>0.23</v>
      </c>
      <c r="W222" s="42">
        <f t="shared" si="35"/>
        <v>1.0023</v>
      </c>
      <c r="X222" t="str">
        <f t="shared" si="36"/>
        <v>0.23</v>
      </c>
      <c r="Y222" t="str">
        <f t="shared" si="37"/>
        <v>0.08</v>
      </c>
      <c r="AA222">
        <v>44652</v>
      </c>
      <c r="AB222">
        <v>99.004959999999997</v>
      </c>
      <c r="AC222">
        <v>1173.1116</v>
      </c>
      <c r="AD222">
        <v>1172.83753209714</v>
      </c>
      <c r="AE222">
        <v>2.3367934207386658E-4</v>
      </c>
    </row>
    <row r="223" spans="1:31" x14ac:dyDescent="0.25">
      <c r="B223" t="s">
        <v>435</v>
      </c>
      <c r="C223" t="s">
        <v>436</v>
      </c>
      <c r="D223" t="s">
        <v>437</v>
      </c>
      <c r="I223" s="1">
        <v>44713</v>
      </c>
      <c r="J223">
        <v>102.12461</v>
      </c>
      <c r="K223" s="16">
        <f t="shared" si="32"/>
        <v>1122.1214699999998</v>
      </c>
      <c r="L223" s="16">
        <v>1096.8530961778899</v>
      </c>
      <c r="M223" s="4">
        <f t="shared" si="33"/>
        <v>2.3037154118596571E-2</v>
      </c>
      <c r="O223" s="1">
        <v>45078</v>
      </c>
      <c r="P223" s="2">
        <v>-0.02</v>
      </c>
      <c r="Q223" s="2">
        <f t="shared" si="34"/>
        <v>257.15095079631686</v>
      </c>
      <c r="R223" s="4">
        <f t="shared" si="39"/>
        <v>2.5784417794131764E-2</v>
      </c>
      <c r="S223" s="4">
        <v>3.2500000000000001E-2</v>
      </c>
      <c r="T223" s="4">
        <f t="shared" si="40"/>
        <v>3.1615014684576392E-2</v>
      </c>
      <c r="U223">
        <f t="shared" si="38"/>
        <v>262.67914771324359</v>
      </c>
      <c r="V223" s="43">
        <v>-0.08</v>
      </c>
      <c r="W223" s="42">
        <f t="shared" si="35"/>
        <v>0.99919999999999998</v>
      </c>
      <c r="X223" t="str">
        <f t="shared" si="36"/>
        <v>-0.08</v>
      </c>
      <c r="Y223" t="str">
        <f t="shared" si="37"/>
        <v>-0.02</v>
      </c>
      <c r="AA223">
        <v>44682</v>
      </c>
      <c r="AB223">
        <v>103.79342</v>
      </c>
      <c r="AC223">
        <v>1174.5827899999999</v>
      </c>
      <c r="AD223">
        <v>1174.9435665666899</v>
      </c>
      <c r="AE223">
        <v>-3.0705863409612069E-4</v>
      </c>
    </row>
    <row r="224" spans="1:31" x14ac:dyDescent="0.25">
      <c r="A224">
        <v>2010</v>
      </c>
      <c r="B224" s="4">
        <v>0.10355639186512522</v>
      </c>
      <c r="C224" s="4">
        <v>5.1318995359066921E-2</v>
      </c>
      <c r="D224" s="15">
        <f>(1+B224)/(1+C224)</f>
        <v>1.0496874847088795</v>
      </c>
      <c r="I224" s="1">
        <v>44743</v>
      </c>
      <c r="J224">
        <v>102.48741</v>
      </c>
      <c r="K224" s="16">
        <f t="shared" si="32"/>
        <v>1133.1429799999999</v>
      </c>
      <c r="L224" s="16">
        <v>1107.5366831986</v>
      </c>
      <c r="M224" s="4">
        <f t="shared" si="33"/>
        <v>2.3120043958677783E-2</v>
      </c>
      <c r="O224" s="1">
        <v>45108</v>
      </c>
      <c r="P224" s="2">
        <v>0.53</v>
      </c>
      <c r="Q224" s="2">
        <f t="shared" si="34"/>
        <v>258.51385083553737</v>
      </c>
      <c r="R224" s="4">
        <f t="shared" si="39"/>
        <v>3.7341389405935788E-2</v>
      </c>
      <c r="S224" s="4">
        <v>3.2500000000000001E-2</v>
      </c>
      <c r="T224" s="4">
        <f t="shared" si="40"/>
        <v>3.9924438886627112E-2</v>
      </c>
      <c r="U224">
        <f t="shared" si="38"/>
        <v>262.99436269049949</v>
      </c>
      <c r="V224" s="43">
        <v>0.12</v>
      </c>
      <c r="W224" s="42">
        <f t="shared" si="35"/>
        <v>1.0012000000000001</v>
      </c>
      <c r="X224" t="str">
        <f t="shared" si="36"/>
        <v>0.12</v>
      </c>
      <c r="Y224" t="str">
        <f t="shared" si="37"/>
        <v>0.53</v>
      </c>
      <c r="AA224">
        <v>44713</v>
      </c>
      <c r="AB224">
        <v>99.189930000000004</v>
      </c>
      <c r="AC224">
        <v>1176.5513000000001</v>
      </c>
      <c r="AD224">
        <v>1177.0901119259699</v>
      </c>
      <c r="AE224">
        <v>-4.5774908863031389E-4</v>
      </c>
    </row>
    <row r="225" spans="1:31" x14ac:dyDescent="0.25">
      <c r="A225">
        <v>2011</v>
      </c>
      <c r="B225" s="4">
        <v>0.12407487293629971</v>
      </c>
      <c r="C225" s="4">
        <v>6.5109274782276794E-2</v>
      </c>
      <c r="D225" s="15">
        <f>(1+B225)/(1+C225)</f>
        <v>1.0553610784828404</v>
      </c>
      <c r="I225" s="1">
        <v>44774</v>
      </c>
      <c r="J225">
        <v>101.18679</v>
      </c>
      <c r="K225" s="16">
        <f t="shared" si="32"/>
        <v>1150.4469199999999</v>
      </c>
      <c r="L225" s="16">
        <v>1118.2201951292</v>
      </c>
      <c r="M225" s="4">
        <f t="shared" si="33"/>
        <v>2.8819659143319621E-2</v>
      </c>
      <c r="O225" s="1">
        <v>45139</v>
      </c>
      <c r="P225" s="2">
        <v>0.24</v>
      </c>
      <c r="Q225" s="2">
        <f t="shared" si="34"/>
        <v>259.13428407754265</v>
      </c>
      <c r="R225" s="4">
        <f t="shared" si="39"/>
        <v>4.9274479051977904E-2</v>
      </c>
      <c r="S225" s="4">
        <v>3.2500000000000001E-2</v>
      </c>
      <c r="T225" s="4">
        <f t="shared" si="40"/>
        <v>4.6082160875217104E-2</v>
      </c>
      <c r="U225">
        <f t="shared" si="38"/>
        <v>263.59924972468764</v>
      </c>
      <c r="V225" s="43">
        <v>0.23</v>
      </c>
      <c r="W225" s="42">
        <f t="shared" si="35"/>
        <v>1.0023</v>
      </c>
      <c r="X225" t="str">
        <f t="shared" si="36"/>
        <v>0.23</v>
      </c>
      <c r="Y225" t="str">
        <f t="shared" si="37"/>
        <v>0.24</v>
      </c>
      <c r="AA225">
        <v>44743</v>
      </c>
      <c r="AB225">
        <v>99.812160000000006</v>
      </c>
      <c r="AC225">
        <v>1174.5279599999999</v>
      </c>
      <c r="AD225">
        <v>1179.2718644162101</v>
      </c>
      <c r="AE225">
        <v>-4.022740268257486E-3</v>
      </c>
    </row>
    <row r="226" spans="1:31" x14ac:dyDescent="0.25">
      <c r="A226">
        <v>2012</v>
      </c>
      <c r="B226" s="4">
        <v>8.9843479877853794E-2</v>
      </c>
      <c r="C226" s="4">
        <v>5.5756004947076887E-2</v>
      </c>
      <c r="D226" s="15">
        <f>(1+B226)/(1+C226)</f>
        <v>1.0322872659696458</v>
      </c>
      <c r="I226" s="1">
        <v>44805</v>
      </c>
      <c r="J226">
        <v>97.964380000000006</v>
      </c>
      <c r="K226" s="16">
        <f t="shared" si="32"/>
        <v>1165.6737699999999</v>
      </c>
      <c r="L226" s="16">
        <v>1128.8885364909499</v>
      </c>
      <c r="M226" s="4">
        <f t="shared" si="33"/>
        <v>3.2585354815802783E-2</v>
      </c>
      <c r="O226" s="1">
        <v>45170</v>
      </c>
      <c r="P226" s="2">
        <v>0.18</v>
      </c>
      <c r="Q226" s="2">
        <f t="shared" si="34"/>
        <v>259.60072578888224</v>
      </c>
      <c r="R226" s="4">
        <f t="shared" si="39"/>
        <v>5.602086911218751E-2</v>
      </c>
      <c r="S226" s="4">
        <v>3.2500000000000001E-2</v>
      </c>
      <c r="T226" s="4">
        <f t="shared" si="40"/>
        <v>5.1852346297756036E-2</v>
      </c>
      <c r="U226">
        <f t="shared" si="38"/>
        <v>264.2846077739718</v>
      </c>
      <c r="V226" s="43">
        <v>0.26</v>
      </c>
      <c r="W226" s="42">
        <f t="shared" si="35"/>
        <v>1.0025999999999999</v>
      </c>
      <c r="X226" t="str">
        <f t="shared" si="36"/>
        <v>0.26</v>
      </c>
      <c r="Y226" t="str">
        <f t="shared" si="37"/>
        <v>0.18</v>
      </c>
      <c r="AA226">
        <v>44774</v>
      </c>
      <c r="AB226">
        <v>100.99444</v>
      </c>
      <c r="AC226">
        <v>1181.7442699999999</v>
      </c>
      <c r="AD226">
        <v>1181.4834828611399</v>
      </c>
      <c r="AE226">
        <v>2.2072855240300168E-4</v>
      </c>
    </row>
    <row r="227" spans="1:31" x14ac:dyDescent="0.25">
      <c r="A227">
        <v>2013</v>
      </c>
      <c r="B227" s="4">
        <v>8.6076769404959785E-2</v>
      </c>
      <c r="C227" s="4">
        <v>5.7748421786628201E-2</v>
      </c>
      <c r="D227" s="15">
        <f t="shared" ref="D227:D234" si="41">(1+B227)/(1+C227)</f>
        <v>1.0267817441603766</v>
      </c>
      <c r="I227" s="1">
        <v>44835</v>
      </c>
      <c r="J227">
        <v>102.71952</v>
      </c>
      <c r="K227" s="16">
        <f t="shared" si="32"/>
        <v>1177.14717</v>
      </c>
      <c r="L227" s="16">
        <v>1139.5288499859601</v>
      </c>
      <c r="M227" s="4">
        <f t="shared" si="33"/>
        <v>3.3012169910839377E-2</v>
      </c>
      <c r="O227" s="1">
        <v>45200</v>
      </c>
      <c r="P227" s="2">
        <v>0.04</v>
      </c>
      <c r="Q227" s="2">
        <f t="shared" si="34"/>
        <v>259.70456607919778</v>
      </c>
      <c r="R227" s="4">
        <f t="shared" si="39"/>
        <v>4.8474868459539744E-2</v>
      </c>
      <c r="S227" s="4">
        <v>3.2500000000000001E-2</v>
      </c>
      <c r="T227" s="4">
        <f t="shared" si="40"/>
        <v>4.8192456435898867E-2</v>
      </c>
      <c r="U227">
        <f t="shared" si="38"/>
        <v>264.9188908326293</v>
      </c>
      <c r="V227" s="43">
        <v>0.24</v>
      </c>
      <c r="W227" s="42">
        <f t="shared" si="35"/>
        <v>1.0024</v>
      </c>
      <c r="X227" t="str">
        <f t="shared" si="36"/>
        <v>0.24</v>
      </c>
      <c r="Y227" t="str">
        <f t="shared" si="37"/>
        <v>0.04</v>
      </c>
      <c r="AA227">
        <v>44805</v>
      </c>
      <c r="AB227">
        <v>98.414770000000004</v>
      </c>
      <c r="AC227">
        <v>1189.5272</v>
      </c>
      <c r="AD227">
        <v>1183.71929664667</v>
      </c>
      <c r="AE227">
        <v>4.906487010715309E-3</v>
      </c>
    </row>
    <row r="228" spans="1:31" x14ac:dyDescent="0.25">
      <c r="A228">
        <v>2014</v>
      </c>
      <c r="B228" s="4">
        <v>0.11523655426513812</v>
      </c>
      <c r="C228" s="4">
        <v>6.7763314425255849E-2</v>
      </c>
      <c r="D228" s="15">
        <f t="shared" si="41"/>
        <v>1.0444604522355552</v>
      </c>
      <c r="I228" s="1">
        <v>44866</v>
      </c>
      <c r="J228">
        <v>104.34372999999999</v>
      </c>
      <c r="K228" s="16">
        <f t="shared" si="32"/>
        <v>1187.89175</v>
      </c>
      <c r="L228" s="16">
        <v>1150.1308325846901</v>
      </c>
      <c r="M228" s="4">
        <f t="shared" si="33"/>
        <v>3.2831845165345021E-2</v>
      </c>
      <c r="O228" s="1">
        <v>45231</v>
      </c>
      <c r="P228" s="2">
        <v>0.34</v>
      </c>
      <c r="Q228" s="2">
        <f t="shared" si="34"/>
        <v>260.58756160386707</v>
      </c>
      <c r="R228" s="4">
        <f t="shared" si="39"/>
        <v>4.7639596706136489E-2</v>
      </c>
      <c r="S228" s="4">
        <v>3.2500000000000001E-2</v>
      </c>
      <c r="T228" s="4">
        <f t="shared" si="40"/>
        <v>4.6835370295706946E-2</v>
      </c>
      <c r="U228">
        <f t="shared" si="38"/>
        <v>265.66066372696065</v>
      </c>
      <c r="V228" s="43">
        <v>0.28000000000000003</v>
      </c>
      <c r="W228" s="42">
        <f t="shared" si="35"/>
        <v>1.0027999999999999</v>
      </c>
      <c r="X228" t="str">
        <f t="shared" si="36"/>
        <v>0.28</v>
      </c>
      <c r="Y228" t="str">
        <f t="shared" si="37"/>
        <v>0.34</v>
      </c>
      <c r="AA228">
        <v>44835</v>
      </c>
      <c r="AB228">
        <v>102.88531999999999</v>
      </c>
      <c r="AC228">
        <v>1193.2197800000001</v>
      </c>
      <c r="AD228">
        <v>1185.9736532689601</v>
      </c>
      <c r="AE228">
        <v>6.1098547265929139E-3</v>
      </c>
    </row>
    <row r="229" spans="1:31" x14ac:dyDescent="0.25">
      <c r="A229">
        <v>2015</v>
      </c>
      <c r="B229" s="4">
        <v>0.14329025069432033</v>
      </c>
      <c r="C229" s="4">
        <v>0.11209661062508536</v>
      </c>
      <c r="D229" s="15">
        <f t="shared" si="41"/>
        <v>1.0280493976613252</v>
      </c>
      <c r="I229" s="1">
        <v>44896</v>
      </c>
      <c r="J229">
        <v>120.82595000000001</v>
      </c>
      <c r="K229" s="16">
        <f t="shared" si="32"/>
        <v>1200.0000099999997</v>
      </c>
      <c r="L229" s="16">
        <v>1160.6867938374401</v>
      </c>
      <c r="M229" s="20">
        <f t="shared" si="33"/>
        <v>3.3870650007641681E-2</v>
      </c>
      <c r="O229" s="1">
        <v>45261</v>
      </c>
      <c r="P229" s="2">
        <v>0.43</v>
      </c>
      <c r="Q229" s="2">
        <f t="shared" si="34"/>
        <v>261.70808811876367</v>
      </c>
      <c r="R229" s="4">
        <f t="shared" si="39"/>
        <v>4.6285249574356424E-2</v>
      </c>
      <c r="S229" s="4">
        <v>3.2500000000000001E-2</v>
      </c>
      <c r="T229" s="4">
        <f t="shared" si="40"/>
        <v>4.6211139305667892E-2</v>
      </c>
      <c r="U229">
        <f t="shared" si="38"/>
        <v>267.14836344383167</v>
      </c>
      <c r="V229" s="43">
        <v>0.56000000000000005</v>
      </c>
      <c r="W229" s="42">
        <f t="shared" si="35"/>
        <v>1.0056</v>
      </c>
      <c r="X229" t="str">
        <f t="shared" si="36"/>
        <v>0.56</v>
      </c>
      <c r="Y229" t="str">
        <f t="shared" si="37"/>
        <v>0.43</v>
      </c>
      <c r="AA229">
        <v>44866</v>
      </c>
      <c r="AB229">
        <v>104.15461999999999</v>
      </c>
      <c r="AC229">
        <v>1196.2846699999998</v>
      </c>
      <c r="AD229">
        <v>1188.24130355077</v>
      </c>
      <c r="AE229">
        <v>6.7691355494832036E-3</v>
      </c>
    </row>
    <row r="230" spans="1:31" x14ac:dyDescent="0.25">
      <c r="A230">
        <v>2016</v>
      </c>
      <c r="B230" s="4">
        <v>0.151382129254644</v>
      </c>
      <c r="C230" s="4">
        <v>6.9498292437049525E-2</v>
      </c>
      <c r="D230" s="15">
        <f t="shared" si="41"/>
        <v>1.07656284951237</v>
      </c>
      <c r="I230" s="1">
        <v>44927</v>
      </c>
      <c r="J230">
        <v>96.413989999999998</v>
      </c>
      <c r="K230" s="16">
        <f t="shared" si="32"/>
        <v>1213.9295</v>
      </c>
      <c r="L230" s="16">
        <v>1171.1916654588999</v>
      </c>
      <c r="M230" s="4">
        <f t="shared" si="33"/>
        <v>3.6490897093563554E-2</v>
      </c>
      <c r="AA230">
        <v>44896</v>
      </c>
      <c r="AB230">
        <v>121.07933</v>
      </c>
      <c r="AC230">
        <v>1200</v>
      </c>
      <c r="AD230">
        <v>1190.5175015180901</v>
      </c>
      <c r="AE230">
        <v>7.9650223283725952E-3</v>
      </c>
    </row>
    <row r="231" spans="1:31" x14ac:dyDescent="0.25">
      <c r="A231">
        <v>2017</v>
      </c>
      <c r="B231" s="4">
        <v>0.10654851698134205</v>
      </c>
      <c r="C231" s="4">
        <v>2.5360557345053714E-2</v>
      </c>
      <c r="D231" s="15">
        <f t="shared" si="41"/>
        <v>1.0791799129142501</v>
      </c>
      <c r="I231" s="1">
        <v>44958</v>
      </c>
      <c r="J231">
        <v>89.649379999999994</v>
      </c>
      <c r="K231" s="16">
        <f t="shared" si="32"/>
        <v>1223.6429600000001</v>
      </c>
      <c r="L231" s="16">
        <v>1181.64310924754</v>
      </c>
      <c r="M231" s="4">
        <f t="shared" si="33"/>
        <v>3.5543600621684553E-2</v>
      </c>
      <c r="AA231">
        <v>44927</v>
      </c>
      <c r="AB231">
        <v>94.871449999999996</v>
      </c>
      <c r="AC231">
        <v>1207.9936500000001</v>
      </c>
      <c r="AD231">
        <v>1192.7980597640601</v>
      </c>
      <c r="AE231">
        <v>1.2739449156167945E-2</v>
      </c>
    </row>
    <row r="232" spans="1:31" x14ac:dyDescent="0.25">
      <c r="A232">
        <v>2018</v>
      </c>
      <c r="B232" s="4">
        <v>6.784037364604445E-2</v>
      </c>
      <c r="C232" s="4">
        <v>4.6115720941292127E-2</v>
      </c>
      <c r="D232" s="15">
        <f t="shared" si="41"/>
        <v>1.020766968959423</v>
      </c>
      <c r="I232" s="1">
        <v>44986</v>
      </c>
      <c r="J232">
        <v>104.91479</v>
      </c>
      <c r="K232" s="16">
        <f t="shared" si="32"/>
        <v>1229.19642</v>
      </c>
      <c r="L232" s="16">
        <v>1192.04175494174</v>
      </c>
      <c r="M232" s="4">
        <f t="shared" si="33"/>
        <v>3.1168929195836668E-2</v>
      </c>
      <c r="AA232">
        <v>44958</v>
      </c>
      <c r="AB232">
        <v>87.90822</v>
      </c>
      <c r="AC232">
        <v>1212.4746700000001</v>
      </c>
      <c r="AD232">
        <v>1195.0794493886301</v>
      </c>
      <c r="AE232">
        <v>1.4555702234080646E-2</v>
      </c>
    </row>
    <row r="233" spans="1:31" x14ac:dyDescent="0.25">
      <c r="A233">
        <v>2019</v>
      </c>
      <c r="B233" s="4">
        <v>6.2082222044283153E-2</v>
      </c>
      <c r="C233" s="4">
        <v>4.0805310432154185E-2</v>
      </c>
      <c r="D233" s="15">
        <f t="shared" si="41"/>
        <v>1.0204427392893436</v>
      </c>
      <c r="I233" s="1">
        <v>45017</v>
      </c>
      <c r="J233">
        <v>96.525919999999999</v>
      </c>
      <c r="K233" s="16">
        <f t="shared" si="32"/>
        <v>1224.84142</v>
      </c>
      <c r="L233" s="16">
        <v>1202.39114873059</v>
      </c>
      <c r="M233" s="4">
        <f t="shared" si="33"/>
        <v>1.8671354403358341E-2</v>
      </c>
      <c r="AA233" t="s">
        <v>52</v>
      </c>
      <c r="AB233">
        <v>102.28286</v>
      </c>
      <c r="AC233">
        <v>1214.3914800000002</v>
      </c>
      <c r="AD233">
        <v>1197.3591967411</v>
      </c>
      <c r="AE233">
        <v>1.4224873626274904E-2</v>
      </c>
    </row>
    <row r="234" spans="1:31" x14ac:dyDescent="0.25">
      <c r="A234">
        <v>2020</v>
      </c>
      <c r="B234" s="4">
        <v>2.9293872997804504E-2</v>
      </c>
      <c r="C234" s="4">
        <v>4.2296441712276422E-2</v>
      </c>
      <c r="D234" s="15">
        <f t="shared" si="41"/>
        <v>0.98752507617399965</v>
      </c>
      <c r="I234" s="1">
        <v>45047</v>
      </c>
      <c r="J234">
        <v>101.21495</v>
      </c>
      <c r="K234" s="16">
        <f t="shared" si="32"/>
        <v>1220.3714200000002</v>
      </c>
      <c r="L234" s="16">
        <v>1212.6974172369</v>
      </c>
      <c r="M234" s="4">
        <f t="shared" si="33"/>
        <v>6.3280441221563351E-3</v>
      </c>
      <c r="AA234">
        <v>45017</v>
      </c>
      <c r="AB234">
        <v>93.567620000000005</v>
      </c>
      <c r="AC234">
        <v>1208.9541400000001</v>
      </c>
      <c r="AD234">
        <v>1199.6360361721599</v>
      </c>
      <c r="AE234">
        <v>7.7674424132611357E-3</v>
      </c>
    </row>
    <row r="235" spans="1:31" x14ac:dyDescent="0.25">
      <c r="I235" s="1">
        <v>45078</v>
      </c>
      <c r="J235">
        <v>100.39064</v>
      </c>
      <c r="K235" s="16">
        <f t="shared" si="32"/>
        <v>1218.6374500000002</v>
      </c>
      <c r="L235" s="16">
        <v>1222.96824603146</v>
      </c>
      <c r="M235" s="4">
        <f t="shared" si="33"/>
        <v>-3.541217072081227E-3</v>
      </c>
      <c r="AA235">
        <v>45047</v>
      </c>
      <c r="AB235">
        <v>98.092560000000006</v>
      </c>
      <c r="AC235">
        <v>1203.2532800000001</v>
      </c>
      <c r="AD235">
        <v>1201.90988482999</v>
      </c>
      <c r="AE235">
        <v>1.1177170493111878E-3</v>
      </c>
    </row>
    <row r="236" spans="1:31" ht="15.75" thickBot="1" x14ac:dyDescent="0.3">
      <c r="I236" s="1">
        <v>45108</v>
      </c>
      <c r="J236">
        <v>103.33626</v>
      </c>
      <c r="K236" s="16">
        <f t="shared" si="32"/>
        <v>1219.4863000000003</v>
      </c>
      <c r="L236" s="16">
        <v>1233.2118535033301</v>
      </c>
      <c r="M236" s="4">
        <f t="shared" si="33"/>
        <v>-1.1129923430704972E-2</v>
      </c>
      <c r="N236" s="15"/>
      <c r="AA236">
        <v>45078</v>
      </c>
      <c r="AB236">
        <v>98.160290000000003</v>
      </c>
      <c r="AC236">
        <v>1202.2236400000002</v>
      </c>
      <c r="AD236">
        <v>1204.1813069533</v>
      </c>
      <c r="AE236">
        <v>-1.6257244170754851E-3</v>
      </c>
    </row>
    <row r="237" spans="1:31" x14ac:dyDescent="0.25">
      <c r="D237" s="120" t="s">
        <v>438</v>
      </c>
      <c r="E237" s="121"/>
      <c r="F237" s="122" t="s">
        <v>439</v>
      </c>
      <c r="I237" s="1">
        <v>45139</v>
      </c>
      <c r="J237">
        <v>109.11552</v>
      </c>
      <c r="K237" s="16">
        <f t="shared" si="32"/>
        <v>1227.4150300000001</v>
      </c>
      <c r="L237" s="16">
        <v>1243.4361574689001</v>
      </c>
      <c r="M237" s="4">
        <f t="shared" si="33"/>
        <v>-1.2884559752156544E-2</v>
      </c>
      <c r="N237" s="15"/>
      <c r="AA237">
        <v>45108</v>
      </c>
      <c r="AB237">
        <v>100.8899</v>
      </c>
      <c r="AC237">
        <v>1203.3013800000001</v>
      </c>
      <c r="AD237">
        <v>1206.4509600721101</v>
      </c>
      <c r="AE237">
        <v>-2.6106159109208485E-3</v>
      </c>
    </row>
    <row r="238" spans="1:31" ht="15.75" thickBot="1" x14ac:dyDescent="0.3">
      <c r="D238" s="123">
        <f>AVERAGE(D224:D233)-1</f>
        <v>4.3357989389400942E-2</v>
      </c>
      <c r="E238" s="124"/>
      <c r="F238" s="125">
        <f>1/(1+D238)</f>
        <v>0.95844380372763993</v>
      </c>
      <c r="I238" s="1">
        <v>45170</v>
      </c>
      <c r="J238">
        <v>100.75166</v>
      </c>
      <c r="K238" s="16">
        <f t="shared" si="32"/>
        <v>1230.2023099999999</v>
      </c>
      <c r="L238" s="16">
        <v>1253.6481228381001</v>
      </c>
      <c r="M238" s="4">
        <f t="shared" si="33"/>
        <v>-1.8702068316444224E-2</v>
      </c>
      <c r="N238" s="15"/>
      <c r="AA238">
        <v>45139</v>
      </c>
      <c r="AB238">
        <v>106.8228</v>
      </c>
      <c r="AC238">
        <v>1209.1297400000001</v>
      </c>
      <c r="AD238">
        <v>1208.7193657673799</v>
      </c>
      <c r="AE238">
        <v>3.3951158907726139E-4</v>
      </c>
    </row>
    <row r="239" spans="1:31" x14ac:dyDescent="0.25">
      <c r="I239" s="1">
        <v>45200</v>
      </c>
      <c r="J239">
        <v>108.10439</v>
      </c>
      <c r="K239" s="16">
        <f t="shared" si="32"/>
        <v>1235.58718</v>
      </c>
      <c r="L239" s="16">
        <v>1263.8536022876699</v>
      </c>
      <c r="M239" s="4">
        <f t="shared" si="33"/>
        <v>-2.2365266227437706E-2</v>
      </c>
      <c r="N239" s="15"/>
      <c r="AA239">
        <v>45170</v>
      </c>
      <c r="AB239">
        <v>98.460890000000006</v>
      </c>
      <c r="AC239">
        <v>1209.1758600000003</v>
      </c>
      <c r="AD239">
        <v>1210.98682689922</v>
      </c>
      <c r="AE239">
        <v>-1.4954472327801829E-3</v>
      </c>
    </row>
    <row r="240" spans="1:31" x14ac:dyDescent="0.25">
      <c r="I240" s="1">
        <v>45231</v>
      </c>
      <c r="J240">
        <v>110.24612999999999</v>
      </c>
      <c r="K240" s="16">
        <f t="shared" si="32"/>
        <v>1241.4895800000002</v>
      </c>
      <c r="L240" s="16">
        <v>1274.0568201525</v>
      </c>
      <c r="M240" s="4">
        <f t="shared" si="33"/>
        <v>-2.5561842798032863E-2</v>
      </c>
      <c r="N240" s="15"/>
      <c r="AA240">
        <v>45200</v>
      </c>
      <c r="AB240">
        <v>106.37896000000001</v>
      </c>
      <c r="AC240">
        <v>1212.6695000000002</v>
      </c>
      <c r="AD240">
        <v>1213.2536748259299</v>
      </c>
      <c r="AE240">
        <v>-4.814943799890288E-4</v>
      </c>
    </row>
    <row r="241" spans="27:31" x14ac:dyDescent="0.25">
      <c r="AA241">
        <v>45231</v>
      </c>
      <c r="AB241">
        <v>108.12196</v>
      </c>
      <c r="AC241">
        <v>1216.6368400000001</v>
      </c>
      <c r="AD241">
        <v>1215.52011514424</v>
      </c>
      <c r="AE241">
        <v>9.1872182273809863E-4</v>
      </c>
    </row>
    <row r="242" spans="27:31" x14ac:dyDescent="0.25">
      <c r="AA242">
        <v>45261</v>
      </c>
      <c r="AB242">
        <v>118.73566</v>
      </c>
      <c r="AC242">
        <v>1214.2931700000001</v>
      </c>
      <c r="AD242">
        <v>1217.78631288319</v>
      </c>
      <c r="AE242">
        <v>-2.8684366429769011E-3</v>
      </c>
    </row>
  </sheetData>
  <mergeCells count="2">
    <mergeCell ref="D237:E237"/>
    <mergeCell ref="D238:E23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4BA3-9777-482F-8CE4-449B5B109270}">
  <dimension ref="A1:I240"/>
  <sheetViews>
    <sheetView workbookViewId="0">
      <selection activeCell="S11" sqref="S11"/>
    </sheetView>
  </sheetViews>
  <sheetFormatPr defaultRowHeight="15" x14ac:dyDescent="0.25"/>
  <cols>
    <col min="1" max="1" width="19.5703125" bestFit="1" customWidth="1"/>
    <col min="2" max="2" width="10" bestFit="1" customWidth="1"/>
    <col min="3" max="4" width="10" customWidth="1"/>
  </cols>
  <sheetData>
    <row r="1" spans="1:9" x14ac:dyDescent="0.25">
      <c r="A1" t="s">
        <v>3</v>
      </c>
      <c r="F1" t="s">
        <v>6</v>
      </c>
    </row>
    <row r="2" spans="1:9" x14ac:dyDescent="0.25">
      <c r="A2" s="1">
        <v>37987</v>
      </c>
      <c r="B2">
        <v>21.986650000000001</v>
      </c>
    </row>
    <row r="3" spans="1:9" x14ac:dyDescent="0.25">
      <c r="A3" s="1">
        <v>38018</v>
      </c>
      <c r="B3">
        <v>20.827020000000001</v>
      </c>
    </row>
    <row r="4" spans="1:9" x14ac:dyDescent="0.25">
      <c r="A4" s="1">
        <v>38047</v>
      </c>
      <c r="B4">
        <v>25.048079999999999</v>
      </c>
      <c r="I4">
        <f>SLOPE(C13:C240,D13:D240)</f>
        <v>3.7882162920823315</v>
      </c>
    </row>
    <row r="5" spans="1:9" x14ac:dyDescent="0.25">
      <c r="A5" s="1">
        <v>38078</v>
      </c>
      <c r="B5">
        <v>24.49146</v>
      </c>
      <c r="I5">
        <f>INTERCEPT(C13:C240,D13:D240)</f>
        <v>228.54036363552046</v>
      </c>
    </row>
    <row r="6" spans="1:9" x14ac:dyDescent="0.25">
      <c r="A6" s="1">
        <v>38108</v>
      </c>
      <c r="B6">
        <v>25.836639999999999</v>
      </c>
    </row>
    <row r="7" spans="1:9" x14ac:dyDescent="0.25">
      <c r="A7" s="1">
        <v>38139</v>
      </c>
      <c r="B7">
        <v>25.187239999999999</v>
      </c>
    </row>
    <row r="8" spans="1:9" x14ac:dyDescent="0.25">
      <c r="A8" s="1">
        <v>38169</v>
      </c>
      <c r="B8">
        <v>26.43965</v>
      </c>
    </row>
    <row r="9" spans="1:9" x14ac:dyDescent="0.25">
      <c r="A9" s="1">
        <v>38200</v>
      </c>
      <c r="B9">
        <v>26.207719999999998</v>
      </c>
    </row>
    <row r="10" spans="1:9" x14ac:dyDescent="0.25">
      <c r="A10" s="1">
        <v>38231</v>
      </c>
      <c r="B10">
        <v>25.094470000000001</v>
      </c>
    </row>
    <row r="11" spans="1:9" x14ac:dyDescent="0.25">
      <c r="A11" s="1">
        <v>38261</v>
      </c>
      <c r="B11">
        <v>27.413740000000001</v>
      </c>
    </row>
    <row r="12" spans="1:9" x14ac:dyDescent="0.25">
      <c r="A12" s="1">
        <v>38292</v>
      </c>
      <c r="B12">
        <v>27.228200000000001</v>
      </c>
    </row>
    <row r="13" spans="1:9" x14ac:dyDescent="0.25">
      <c r="A13" s="1">
        <v>38322</v>
      </c>
      <c r="B13">
        <v>36.690809999999999</v>
      </c>
      <c r="C13">
        <f>SUM(B2:B13)</f>
        <v>312.45168000000001</v>
      </c>
      <c r="D13">
        <v>1</v>
      </c>
      <c r="F13">
        <f>$I$5+$I$4*D13</f>
        <v>232.32857992760279</v>
      </c>
    </row>
    <row r="14" spans="1:9" x14ac:dyDescent="0.25">
      <c r="A14" s="1">
        <v>38353</v>
      </c>
      <c r="B14">
        <v>25.511939999999999</v>
      </c>
      <c r="C14">
        <f t="shared" ref="C14:C77" si="0">SUM(B3:B14)</f>
        <v>315.97696999999999</v>
      </c>
      <c r="D14">
        <v>2</v>
      </c>
      <c r="F14">
        <f t="shared" ref="F14:F77" si="1">$I$5+$I$4*D14</f>
        <v>236.11679621968511</v>
      </c>
    </row>
    <row r="15" spans="1:9" x14ac:dyDescent="0.25">
      <c r="A15" s="1">
        <v>38384</v>
      </c>
      <c r="B15">
        <v>23.053519999999999</v>
      </c>
      <c r="C15">
        <f t="shared" si="0"/>
        <v>318.20346999999998</v>
      </c>
      <c r="D15">
        <v>3</v>
      </c>
      <c r="F15">
        <f t="shared" si="1"/>
        <v>239.90501251176747</v>
      </c>
    </row>
    <row r="16" spans="1:9" x14ac:dyDescent="0.25">
      <c r="A16" s="1">
        <v>38412</v>
      </c>
      <c r="B16">
        <v>26.996269999999999</v>
      </c>
      <c r="C16">
        <f t="shared" si="0"/>
        <v>320.15165999999994</v>
      </c>
      <c r="D16">
        <v>4</v>
      </c>
      <c r="F16">
        <f t="shared" si="1"/>
        <v>243.69322880384979</v>
      </c>
    </row>
    <row r="17" spans="1:6" x14ac:dyDescent="0.25">
      <c r="A17" s="1">
        <v>38443</v>
      </c>
      <c r="B17">
        <v>25.97579</v>
      </c>
      <c r="C17">
        <f t="shared" si="0"/>
        <v>321.63598999999999</v>
      </c>
      <c r="D17">
        <v>5</v>
      </c>
      <c r="F17">
        <f t="shared" si="1"/>
        <v>247.48144509593212</v>
      </c>
    </row>
    <row r="18" spans="1:6" x14ac:dyDescent="0.25">
      <c r="A18" s="1">
        <v>38473</v>
      </c>
      <c r="B18">
        <v>26.254100000000001</v>
      </c>
      <c r="C18">
        <f t="shared" si="0"/>
        <v>322.05345</v>
      </c>
      <c r="D18">
        <v>6</v>
      </c>
      <c r="F18">
        <f t="shared" si="1"/>
        <v>251.26966138801444</v>
      </c>
    </row>
    <row r="19" spans="1:6" x14ac:dyDescent="0.25">
      <c r="A19" s="1">
        <v>38504</v>
      </c>
      <c r="B19">
        <v>25.79025</v>
      </c>
      <c r="C19">
        <f t="shared" si="0"/>
        <v>322.65646000000004</v>
      </c>
      <c r="D19">
        <v>7</v>
      </c>
      <c r="F19">
        <f t="shared" si="1"/>
        <v>255.05787768009679</v>
      </c>
    </row>
    <row r="20" spans="1:6" x14ac:dyDescent="0.25">
      <c r="A20" s="1">
        <v>38534</v>
      </c>
      <c r="B20">
        <v>25.883019999999998</v>
      </c>
      <c r="C20">
        <f t="shared" si="0"/>
        <v>322.09983</v>
      </c>
      <c r="D20">
        <v>8</v>
      </c>
      <c r="F20">
        <f t="shared" si="1"/>
        <v>258.84609397217912</v>
      </c>
    </row>
    <row r="21" spans="1:6" x14ac:dyDescent="0.25">
      <c r="A21" s="1">
        <v>38565</v>
      </c>
      <c r="B21">
        <v>25.97579</v>
      </c>
      <c r="C21">
        <f t="shared" si="0"/>
        <v>321.86790000000002</v>
      </c>
      <c r="D21">
        <v>9</v>
      </c>
      <c r="F21">
        <f t="shared" si="1"/>
        <v>262.63431026426144</v>
      </c>
    </row>
    <row r="22" spans="1:6" x14ac:dyDescent="0.25">
      <c r="A22" s="1">
        <v>38596</v>
      </c>
      <c r="B22">
        <v>24.073989999999998</v>
      </c>
      <c r="C22">
        <f t="shared" si="0"/>
        <v>320.84742</v>
      </c>
      <c r="D22">
        <v>10</v>
      </c>
      <c r="F22">
        <f t="shared" si="1"/>
        <v>266.42252655634377</v>
      </c>
    </row>
    <row r="23" spans="1:6" x14ac:dyDescent="0.25">
      <c r="A23" s="1">
        <v>38626</v>
      </c>
      <c r="B23">
        <v>25.65109</v>
      </c>
      <c r="C23">
        <f t="shared" si="0"/>
        <v>319.08476999999999</v>
      </c>
      <c r="D23">
        <v>11</v>
      </c>
      <c r="F23">
        <f t="shared" si="1"/>
        <v>270.21074284842609</v>
      </c>
    </row>
    <row r="24" spans="1:6" x14ac:dyDescent="0.25">
      <c r="A24" s="1">
        <v>38657</v>
      </c>
      <c r="B24">
        <v>26.671569999999999</v>
      </c>
      <c r="C24">
        <f t="shared" si="0"/>
        <v>318.52813999999995</v>
      </c>
      <c r="D24">
        <v>12</v>
      </c>
      <c r="F24">
        <f t="shared" si="1"/>
        <v>273.99895914050842</v>
      </c>
    </row>
    <row r="25" spans="1:6" x14ac:dyDescent="0.25">
      <c r="A25" s="1">
        <v>38687</v>
      </c>
      <c r="B25">
        <v>34.974550000000001</v>
      </c>
      <c r="C25">
        <f t="shared" si="0"/>
        <v>316.81187999999997</v>
      </c>
      <c r="D25">
        <v>13</v>
      </c>
      <c r="F25">
        <f t="shared" si="1"/>
        <v>277.78717543259074</v>
      </c>
    </row>
    <row r="26" spans="1:6" x14ac:dyDescent="0.25">
      <c r="A26" s="1">
        <v>38718</v>
      </c>
      <c r="B26">
        <v>24.445080000000001</v>
      </c>
      <c r="C26">
        <f t="shared" si="0"/>
        <v>315.74502000000001</v>
      </c>
      <c r="D26">
        <v>14</v>
      </c>
      <c r="F26">
        <f t="shared" si="1"/>
        <v>281.57539172467312</v>
      </c>
    </row>
    <row r="27" spans="1:6" x14ac:dyDescent="0.25">
      <c r="A27" s="1">
        <v>38749</v>
      </c>
      <c r="B27">
        <v>22.125810000000001</v>
      </c>
      <c r="C27">
        <f t="shared" si="0"/>
        <v>314.81731000000002</v>
      </c>
      <c r="D27">
        <v>15</v>
      </c>
      <c r="F27">
        <f t="shared" si="1"/>
        <v>285.36360801675545</v>
      </c>
    </row>
    <row r="28" spans="1:6" x14ac:dyDescent="0.25">
      <c r="A28" s="1">
        <v>38777</v>
      </c>
      <c r="B28">
        <v>26.903500000000001</v>
      </c>
      <c r="C28">
        <f t="shared" si="0"/>
        <v>314.72454000000005</v>
      </c>
      <c r="D28">
        <v>16</v>
      </c>
      <c r="F28">
        <f t="shared" si="1"/>
        <v>289.15182430883777</v>
      </c>
    </row>
    <row r="29" spans="1:6" x14ac:dyDescent="0.25">
      <c r="A29" s="1">
        <v>38808</v>
      </c>
      <c r="B29">
        <v>25.79025</v>
      </c>
      <c r="C29">
        <f t="shared" si="0"/>
        <v>314.53899999999999</v>
      </c>
      <c r="D29">
        <v>17</v>
      </c>
      <c r="F29">
        <f t="shared" si="1"/>
        <v>292.9400406009201</v>
      </c>
    </row>
    <row r="30" spans="1:6" x14ac:dyDescent="0.25">
      <c r="A30" s="1">
        <v>38838</v>
      </c>
      <c r="B30">
        <v>27.645659999999999</v>
      </c>
      <c r="C30">
        <f t="shared" si="0"/>
        <v>315.93056000000001</v>
      </c>
      <c r="D30">
        <v>18</v>
      </c>
      <c r="F30">
        <f t="shared" si="1"/>
        <v>296.72825689300242</v>
      </c>
    </row>
    <row r="31" spans="1:6" x14ac:dyDescent="0.25">
      <c r="A31" s="1">
        <v>38869</v>
      </c>
      <c r="B31">
        <v>24.955310000000001</v>
      </c>
      <c r="C31">
        <f t="shared" si="0"/>
        <v>315.09562</v>
      </c>
      <c r="D31">
        <v>19</v>
      </c>
      <c r="F31">
        <f t="shared" si="1"/>
        <v>300.51647318508475</v>
      </c>
    </row>
    <row r="32" spans="1:6" x14ac:dyDescent="0.25">
      <c r="A32" s="1">
        <v>38899</v>
      </c>
      <c r="B32">
        <v>26.16133</v>
      </c>
      <c r="C32">
        <f t="shared" si="0"/>
        <v>315.37393000000003</v>
      </c>
      <c r="D32">
        <v>20</v>
      </c>
      <c r="F32">
        <f t="shared" si="1"/>
        <v>304.30468947716707</v>
      </c>
    </row>
    <row r="33" spans="1:6" x14ac:dyDescent="0.25">
      <c r="A33" s="1">
        <v>38930</v>
      </c>
      <c r="B33">
        <v>26.857109999999999</v>
      </c>
      <c r="C33">
        <f t="shared" si="0"/>
        <v>316.25524999999999</v>
      </c>
      <c r="D33">
        <v>21</v>
      </c>
      <c r="F33">
        <f t="shared" si="1"/>
        <v>308.09290576924946</v>
      </c>
    </row>
    <row r="34" spans="1:6" x14ac:dyDescent="0.25">
      <c r="A34" s="1">
        <v>38961</v>
      </c>
      <c r="B34">
        <v>25.97579</v>
      </c>
      <c r="C34">
        <f t="shared" si="0"/>
        <v>318.15705000000003</v>
      </c>
      <c r="D34">
        <v>22</v>
      </c>
      <c r="F34">
        <f t="shared" si="1"/>
        <v>311.88112206133178</v>
      </c>
    </row>
    <row r="35" spans="1:6" x14ac:dyDescent="0.25">
      <c r="A35" s="1">
        <v>38991</v>
      </c>
      <c r="B35">
        <v>27.413740000000001</v>
      </c>
      <c r="C35">
        <f t="shared" si="0"/>
        <v>319.91969999999998</v>
      </c>
      <c r="D35">
        <v>23</v>
      </c>
      <c r="F35">
        <f t="shared" si="1"/>
        <v>315.6693383534141</v>
      </c>
    </row>
    <row r="36" spans="1:6" x14ac:dyDescent="0.25">
      <c r="A36" s="1">
        <v>39022</v>
      </c>
      <c r="B36">
        <v>27.59928</v>
      </c>
      <c r="C36">
        <f t="shared" si="0"/>
        <v>320.84741000000002</v>
      </c>
      <c r="D36">
        <v>24</v>
      </c>
      <c r="F36">
        <f t="shared" si="1"/>
        <v>319.45755464549643</v>
      </c>
    </row>
    <row r="37" spans="1:6" x14ac:dyDescent="0.25">
      <c r="A37" s="1">
        <v>39052</v>
      </c>
      <c r="B37">
        <v>35.948639999999997</v>
      </c>
      <c r="C37">
        <f t="shared" si="0"/>
        <v>321.82150000000001</v>
      </c>
      <c r="D37">
        <v>25</v>
      </c>
      <c r="F37">
        <f t="shared" si="1"/>
        <v>323.24577093757875</v>
      </c>
    </row>
    <row r="38" spans="1:6" x14ac:dyDescent="0.25">
      <c r="A38" s="1">
        <v>39083</v>
      </c>
      <c r="B38">
        <v>26.393260000000001</v>
      </c>
      <c r="C38">
        <f t="shared" si="0"/>
        <v>323.76967999999999</v>
      </c>
      <c r="D38">
        <v>26</v>
      </c>
      <c r="F38">
        <f t="shared" si="1"/>
        <v>327.03398722966108</v>
      </c>
    </row>
    <row r="39" spans="1:6" x14ac:dyDescent="0.25">
      <c r="A39" s="1">
        <v>39114</v>
      </c>
      <c r="B39">
        <v>23.702909999999999</v>
      </c>
      <c r="C39">
        <f t="shared" si="0"/>
        <v>325.34677999999997</v>
      </c>
      <c r="D39">
        <v>27</v>
      </c>
      <c r="F39">
        <f t="shared" si="1"/>
        <v>330.8222035217434</v>
      </c>
    </row>
    <row r="40" spans="1:6" x14ac:dyDescent="0.25">
      <c r="A40" s="1">
        <v>39142</v>
      </c>
      <c r="B40">
        <v>28.898070000000001</v>
      </c>
      <c r="C40">
        <f t="shared" si="0"/>
        <v>327.34134999999998</v>
      </c>
      <c r="D40">
        <v>28</v>
      </c>
      <c r="F40">
        <f t="shared" si="1"/>
        <v>334.61041981382573</v>
      </c>
    </row>
    <row r="41" spans="1:6" x14ac:dyDescent="0.25">
      <c r="A41" s="1">
        <v>39173</v>
      </c>
      <c r="B41">
        <v>28.248670000000001</v>
      </c>
      <c r="C41">
        <f t="shared" si="0"/>
        <v>329.79976999999997</v>
      </c>
      <c r="D41">
        <v>29</v>
      </c>
      <c r="F41">
        <f t="shared" si="1"/>
        <v>338.39863610590805</v>
      </c>
    </row>
    <row r="42" spans="1:6" x14ac:dyDescent="0.25">
      <c r="A42" s="1">
        <v>39203</v>
      </c>
      <c r="B42">
        <v>30.56794</v>
      </c>
      <c r="C42">
        <f t="shared" si="0"/>
        <v>332.72205000000002</v>
      </c>
      <c r="D42">
        <v>30</v>
      </c>
      <c r="F42">
        <f t="shared" si="1"/>
        <v>342.18685239799038</v>
      </c>
    </row>
    <row r="43" spans="1:6" x14ac:dyDescent="0.25">
      <c r="A43" s="1">
        <v>39234</v>
      </c>
      <c r="B43">
        <v>28.619759999999999</v>
      </c>
      <c r="C43">
        <f t="shared" si="0"/>
        <v>336.38650000000001</v>
      </c>
      <c r="D43">
        <v>31</v>
      </c>
      <c r="F43">
        <f t="shared" si="1"/>
        <v>345.97506869007276</v>
      </c>
    </row>
    <row r="44" spans="1:6" x14ac:dyDescent="0.25">
      <c r="A44" s="1">
        <v>39264</v>
      </c>
      <c r="B44">
        <v>29.222770000000001</v>
      </c>
      <c r="C44">
        <f t="shared" si="0"/>
        <v>339.44794000000002</v>
      </c>
      <c r="D44">
        <v>32</v>
      </c>
      <c r="F44">
        <f t="shared" si="1"/>
        <v>349.76328498215508</v>
      </c>
    </row>
    <row r="45" spans="1:6" x14ac:dyDescent="0.25">
      <c r="A45" s="1">
        <v>39295</v>
      </c>
      <c r="B45">
        <v>31.449259999999999</v>
      </c>
      <c r="C45">
        <f t="shared" si="0"/>
        <v>344.04009000000002</v>
      </c>
      <c r="D45">
        <v>33</v>
      </c>
      <c r="F45">
        <f t="shared" si="1"/>
        <v>353.55150127423741</v>
      </c>
    </row>
    <row r="46" spans="1:6" x14ac:dyDescent="0.25">
      <c r="A46" s="1">
        <v>39326</v>
      </c>
      <c r="B46">
        <v>29.129989999999999</v>
      </c>
      <c r="C46">
        <f t="shared" si="0"/>
        <v>347.19429000000002</v>
      </c>
      <c r="D46">
        <v>34</v>
      </c>
      <c r="F46">
        <f t="shared" si="1"/>
        <v>357.33971756631973</v>
      </c>
    </row>
    <row r="47" spans="1:6" x14ac:dyDescent="0.25">
      <c r="A47" s="1">
        <v>39356</v>
      </c>
      <c r="B47">
        <v>32.933590000000002</v>
      </c>
      <c r="C47">
        <f t="shared" si="0"/>
        <v>352.71413999999999</v>
      </c>
      <c r="D47">
        <v>35</v>
      </c>
      <c r="F47">
        <f t="shared" si="1"/>
        <v>361.12793385840206</v>
      </c>
    </row>
    <row r="48" spans="1:6" x14ac:dyDescent="0.25">
      <c r="A48" s="1">
        <v>39387</v>
      </c>
      <c r="B48">
        <v>32.794440000000002</v>
      </c>
      <c r="C48">
        <f t="shared" si="0"/>
        <v>357.90930000000003</v>
      </c>
      <c r="D48">
        <v>36</v>
      </c>
      <c r="F48">
        <f t="shared" si="1"/>
        <v>364.91615015048438</v>
      </c>
    </row>
    <row r="49" spans="1:6" x14ac:dyDescent="0.25">
      <c r="A49" s="1">
        <v>39417</v>
      </c>
      <c r="B49">
        <v>40.262479999999996</v>
      </c>
      <c r="C49">
        <f t="shared" si="0"/>
        <v>362.22314</v>
      </c>
      <c r="D49">
        <v>37</v>
      </c>
      <c r="F49">
        <f t="shared" si="1"/>
        <v>368.70436644256677</v>
      </c>
    </row>
    <row r="50" spans="1:6" x14ac:dyDescent="0.25">
      <c r="A50" s="1">
        <v>39448</v>
      </c>
      <c r="B50">
        <v>30.42878</v>
      </c>
      <c r="C50">
        <f t="shared" si="0"/>
        <v>366.25866000000002</v>
      </c>
      <c r="D50">
        <v>38</v>
      </c>
      <c r="F50">
        <f t="shared" si="1"/>
        <v>372.49258273464909</v>
      </c>
    </row>
    <row r="51" spans="1:6" x14ac:dyDescent="0.25">
      <c r="A51" s="1">
        <v>39479</v>
      </c>
      <c r="B51">
        <v>29.08361</v>
      </c>
      <c r="C51">
        <f t="shared" si="0"/>
        <v>371.63936000000001</v>
      </c>
      <c r="D51">
        <v>39</v>
      </c>
      <c r="F51">
        <f t="shared" si="1"/>
        <v>376.28079902673142</v>
      </c>
    </row>
    <row r="52" spans="1:6" x14ac:dyDescent="0.25">
      <c r="A52" s="1">
        <v>39508</v>
      </c>
      <c r="B52">
        <v>33.165520000000001</v>
      </c>
      <c r="C52">
        <f t="shared" si="0"/>
        <v>375.90681000000006</v>
      </c>
      <c r="D52">
        <v>40</v>
      </c>
      <c r="F52">
        <f t="shared" si="1"/>
        <v>380.06901531881374</v>
      </c>
    </row>
    <row r="53" spans="1:6" x14ac:dyDescent="0.25">
      <c r="A53" s="1">
        <v>39539</v>
      </c>
      <c r="B53">
        <v>33.814909999999998</v>
      </c>
      <c r="C53">
        <f t="shared" si="0"/>
        <v>381.47305000000006</v>
      </c>
      <c r="D53">
        <v>41</v>
      </c>
      <c r="F53">
        <f t="shared" si="1"/>
        <v>383.85723161089606</v>
      </c>
    </row>
    <row r="54" spans="1:6" x14ac:dyDescent="0.25">
      <c r="A54" s="1">
        <v>39569</v>
      </c>
      <c r="B54">
        <v>35.206470000000003</v>
      </c>
      <c r="C54">
        <f t="shared" si="0"/>
        <v>386.11158</v>
      </c>
      <c r="D54">
        <v>42</v>
      </c>
      <c r="F54">
        <f t="shared" si="1"/>
        <v>387.64544790297839</v>
      </c>
    </row>
    <row r="55" spans="1:6" x14ac:dyDescent="0.25">
      <c r="A55" s="1">
        <v>39600</v>
      </c>
      <c r="B55">
        <v>34.417920000000002</v>
      </c>
      <c r="C55">
        <f t="shared" si="0"/>
        <v>391.90974</v>
      </c>
      <c r="D55">
        <v>43</v>
      </c>
      <c r="F55">
        <f t="shared" si="1"/>
        <v>391.43366419506071</v>
      </c>
    </row>
    <row r="56" spans="1:6" x14ac:dyDescent="0.25">
      <c r="A56" s="1">
        <v>39630</v>
      </c>
      <c r="B56">
        <v>35.484789999999997</v>
      </c>
      <c r="C56">
        <f t="shared" si="0"/>
        <v>398.17176000000001</v>
      </c>
      <c r="D56">
        <v>44</v>
      </c>
      <c r="F56">
        <f t="shared" si="1"/>
        <v>395.22188048714304</v>
      </c>
    </row>
    <row r="57" spans="1:6" x14ac:dyDescent="0.25">
      <c r="A57" s="1">
        <v>39661</v>
      </c>
      <c r="B57">
        <v>35.02093</v>
      </c>
      <c r="C57">
        <f t="shared" si="0"/>
        <v>401.74342999999999</v>
      </c>
      <c r="D57">
        <v>45</v>
      </c>
      <c r="F57">
        <f t="shared" si="1"/>
        <v>399.01009677922536</v>
      </c>
    </row>
    <row r="58" spans="1:6" x14ac:dyDescent="0.25">
      <c r="A58" s="1">
        <v>39692</v>
      </c>
      <c r="B58">
        <v>34.835389999999997</v>
      </c>
      <c r="C58">
        <f t="shared" si="0"/>
        <v>407.44882999999999</v>
      </c>
      <c r="D58">
        <v>46</v>
      </c>
      <c r="F58">
        <f t="shared" si="1"/>
        <v>402.79831307130769</v>
      </c>
    </row>
    <row r="59" spans="1:6" x14ac:dyDescent="0.25">
      <c r="A59" s="1">
        <v>39722</v>
      </c>
      <c r="B59">
        <v>36.087800000000001</v>
      </c>
      <c r="C59">
        <f t="shared" si="0"/>
        <v>410.60304000000002</v>
      </c>
      <c r="D59">
        <v>47</v>
      </c>
      <c r="F59">
        <f t="shared" si="1"/>
        <v>406.58652936339001</v>
      </c>
    </row>
    <row r="60" spans="1:6" x14ac:dyDescent="0.25">
      <c r="A60" s="1">
        <v>39753</v>
      </c>
      <c r="B60">
        <v>33.907690000000002</v>
      </c>
      <c r="C60">
        <f t="shared" si="0"/>
        <v>411.71629000000001</v>
      </c>
      <c r="D60">
        <v>48</v>
      </c>
      <c r="F60">
        <f t="shared" si="1"/>
        <v>410.37474565547234</v>
      </c>
    </row>
    <row r="61" spans="1:6" x14ac:dyDescent="0.25">
      <c r="A61" s="1">
        <v>39783</v>
      </c>
      <c r="B61">
        <v>42.25705</v>
      </c>
      <c r="C61">
        <f t="shared" si="0"/>
        <v>413.71086000000003</v>
      </c>
      <c r="D61">
        <v>49</v>
      </c>
      <c r="F61">
        <f t="shared" si="1"/>
        <v>414.16296194755466</v>
      </c>
    </row>
    <row r="62" spans="1:6" x14ac:dyDescent="0.25">
      <c r="A62" s="1">
        <v>39814</v>
      </c>
      <c r="B62">
        <v>31.959499999999998</v>
      </c>
      <c r="C62">
        <f t="shared" si="0"/>
        <v>415.24158</v>
      </c>
      <c r="D62">
        <v>50</v>
      </c>
      <c r="F62">
        <f t="shared" si="1"/>
        <v>417.95117823963704</v>
      </c>
    </row>
    <row r="63" spans="1:6" x14ac:dyDescent="0.25">
      <c r="A63" s="1">
        <v>39845</v>
      </c>
      <c r="B63">
        <v>29.547460000000001</v>
      </c>
      <c r="C63">
        <f t="shared" si="0"/>
        <v>415.70542999999998</v>
      </c>
      <c r="D63">
        <v>51</v>
      </c>
      <c r="F63">
        <f t="shared" si="1"/>
        <v>421.73939453171937</v>
      </c>
    </row>
    <row r="64" spans="1:6" x14ac:dyDescent="0.25">
      <c r="A64" s="1">
        <v>39873</v>
      </c>
      <c r="B64">
        <v>35.623939999999997</v>
      </c>
      <c r="C64">
        <f t="shared" si="0"/>
        <v>418.16384999999997</v>
      </c>
      <c r="D64">
        <v>52</v>
      </c>
      <c r="F64">
        <f t="shared" si="1"/>
        <v>425.52761082380169</v>
      </c>
    </row>
    <row r="65" spans="1:6" x14ac:dyDescent="0.25">
      <c r="A65" s="1">
        <v>39904</v>
      </c>
      <c r="B65">
        <v>33.907690000000002</v>
      </c>
      <c r="C65">
        <f t="shared" si="0"/>
        <v>418.25662999999997</v>
      </c>
      <c r="D65">
        <v>53</v>
      </c>
      <c r="F65">
        <f t="shared" si="1"/>
        <v>429.31582711588402</v>
      </c>
    </row>
    <row r="66" spans="1:6" x14ac:dyDescent="0.25">
      <c r="A66" s="1">
        <v>39934</v>
      </c>
      <c r="B66">
        <v>35.855870000000003</v>
      </c>
      <c r="C66">
        <f t="shared" si="0"/>
        <v>418.90602999999999</v>
      </c>
      <c r="D66">
        <v>54</v>
      </c>
      <c r="F66">
        <f t="shared" si="1"/>
        <v>433.1040434079664</v>
      </c>
    </row>
    <row r="67" spans="1:6" x14ac:dyDescent="0.25">
      <c r="A67" s="1">
        <v>39965</v>
      </c>
      <c r="B67">
        <v>36.366109999999999</v>
      </c>
      <c r="C67">
        <f t="shared" si="0"/>
        <v>420.85421999999994</v>
      </c>
      <c r="D67">
        <v>55</v>
      </c>
      <c r="F67">
        <f t="shared" si="1"/>
        <v>436.89225970004873</v>
      </c>
    </row>
    <row r="68" spans="1:6" x14ac:dyDescent="0.25">
      <c r="A68" s="1">
        <v>39995</v>
      </c>
      <c r="B68">
        <v>35.113700000000001</v>
      </c>
      <c r="C68">
        <f t="shared" si="0"/>
        <v>420.48312999999996</v>
      </c>
      <c r="D68">
        <v>56</v>
      </c>
      <c r="F68">
        <f t="shared" si="1"/>
        <v>440.68047599213105</v>
      </c>
    </row>
    <row r="69" spans="1:6" x14ac:dyDescent="0.25">
      <c r="A69" s="1">
        <v>40026</v>
      </c>
      <c r="B69">
        <v>35.299250000000001</v>
      </c>
      <c r="C69">
        <f t="shared" si="0"/>
        <v>420.76144999999997</v>
      </c>
      <c r="D69">
        <v>57</v>
      </c>
      <c r="F69">
        <f t="shared" si="1"/>
        <v>444.46869228421338</v>
      </c>
    </row>
    <row r="70" spans="1:6" x14ac:dyDescent="0.25">
      <c r="A70" s="1">
        <v>40057</v>
      </c>
      <c r="B70">
        <v>36.50526</v>
      </c>
      <c r="C70">
        <f t="shared" si="0"/>
        <v>422.43132000000003</v>
      </c>
      <c r="D70">
        <v>58</v>
      </c>
      <c r="F70">
        <f t="shared" si="1"/>
        <v>448.2569085762957</v>
      </c>
    </row>
    <row r="71" spans="1:6" x14ac:dyDescent="0.25">
      <c r="A71" s="1">
        <v>40087</v>
      </c>
      <c r="B71">
        <v>38.453449999999997</v>
      </c>
      <c r="C71">
        <f t="shared" si="0"/>
        <v>424.79696999999999</v>
      </c>
      <c r="D71">
        <v>59</v>
      </c>
      <c r="F71">
        <f t="shared" si="1"/>
        <v>452.04512486837802</v>
      </c>
    </row>
    <row r="72" spans="1:6" x14ac:dyDescent="0.25">
      <c r="A72" s="1">
        <v>40118</v>
      </c>
      <c r="B72">
        <v>37.618510000000001</v>
      </c>
      <c r="C72">
        <f t="shared" si="0"/>
        <v>428.50779</v>
      </c>
      <c r="D72">
        <v>60</v>
      </c>
      <c r="F72">
        <f t="shared" si="1"/>
        <v>455.83334116046035</v>
      </c>
    </row>
    <row r="73" spans="1:6" x14ac:dyDescent="0.25">
      <c r="A73" s="1">
        <v>40148</v>
      </c>
      <c r="B73">
        <v>48.936540000000001</v>
      </c>
      <c r="C73">
        <f t="shared" si="0"/>
        <v>435.18727999999999</v>
      </c>
      <c r="D73">
        <v>61</v>
      </c>
      <c r="F73">
        <f t="shared" si="1"/>
        <v>459.62155745254267</v>
      </c>
    </row>
    <row r="74" spans="1:6" x14ac:dyDescent="0.25">
      <c r="A74" s="1">
        <v>40179</v>
      </c>
      <c r="B74">
        <v>35.392020000000002</v>
      </c>
      <c r="C74">
        <f t="shared" si="0"/>
        <v>438.6198</v>
      </c>
      <c r="D74">
        <v>62</v>
      </c>
      <c r="F74">
        <f t="shared" si="1"/>
        <v>463.409773744625</v>
      </c>
    </row>
    <row r="75" spans="1:6" x14ac:dyDescent="0.25">
      <c r="A75" s="1">
        <v>40210</v>
      </c>
      <c r="B75">
        <v>33.443829999999998</v>
      </c>
      <c r="C75">
        <f t="shared" si="0"/>
        <v>442.51616999999999</v>
      </c>
      <c r="D75">
        <v>63</v>
      </c>
      <c r="F75">
        <f t="shared" si="1"/>
        <v>467.19799003670732</v>
      </c>
    </row>
    <row r="76" spans="1:6" x14ac:dyDescent="0.25">
      <c r="A76" s="1">
        <v>40238</v>
      </c>
      <c r="B76">
        <v>43.138370000000002</v>
      </c>
      <c r="C76">
        <f t="shared" si="0"/>
        <v>450.03059999999999</v>
      </c>
      <c r="D76">
        <v>64</v>
      </c>
      <c r="F76">
        <f t="shared" si="1"/>
        <v>470.98620632878965</v>
      </c>
    </row>
    <row r="77" spans="1:6" x14ac:dyDescent="0.25">
      <c r="A77" s="1">
        <v>40269</v>
      </c>
      <c r="B77">
        <v>38.870919999999998</v>
      </c>
      <c r="C77">
        <f t="shared" si="0"/>
        <v>454.99383</v>
      </c>
      <c r="D77">
        <v>65</v>
      </c>
      <c r="F77">
        <f t="shared" si="1"/>
        <v>474.77442262087197</v>
      </c>
    </row>
    <row r="78" spans="1:6" x14ac:dyDescent="0.25">
      <c r="A78" s="1">
        <v>40299</v>
      </c>
      <c r="B78">
        <v>40.679949999999998</v>
      </c>
      <c r="C78">
        <f t="shared" ref="C78:C141" si="2">SUM(B67:B78)</f>
        <v>459.81791000000004</v>
      </c>
      <c r="D78">
        <v>66</v>
      </c>
      <c r="F78">
        <f t="shared" ref="F78:F141" si="3">$I$5+$I$4*D78</f>
        <v>478.5626389129543</v>
      </c>
    </row>
    <row r="79" spans="1:6" x14ac:dyDescent="0.25">
      <c r="A79" s="1">
        <v>40330</v>
      </c>
      <c r="B79">
        <v>40.308860000000003</v>
      </c>
      <c r="C79">
        <f t="shared" si="2"/>
        <v>463.76065999999997</v>
      </c>
      <c r="D79">
        <v>67</v>
      </c>
      <c r="F79">
        <f t="shared" si="3"/>
        <v>482.35085520503668</v>
      </c>
    </row>
    <row r="80" spans="1:6" x14ac:dyDescent="0.25">
      <c r="A80" s="1">
        <v>40360</v>
      </c>
      <c r="B80">
        <v>41.514879999999998</v>
      </c>
      <c r="C80">
        <f t="shared" si="2"/>
        <v>470.16184000000004</v>
      </c>
      <c r="D80">
        <v>68</v>
      </c>
      <c r="F80">
        <f t="shared" si="3"/>
        <v>486.13907149711901</v>
      </c>
    </row>
    <row r="81" spans="1:6" x14ac:dyDescent="0.25">
      <c r="A81" s="1">
        <v>40391</v>
      </c>
      <c r="B81">
        <v>42.3962</v>
      </c>
      <c r="C81">
        <f t="shared" si="2"/>
        <v>477.25879000000003</v>
      </c>
      <c r="D81">
        <v>69</v>
      </c>
      <c r="F81">
        <f t="shared" si="3"/>
        <v>489.92728778920133</v>
      </c>
    </row>
    <row r="82" spans="1:6" x14ac:dyDescent="0.25">
      <c r="A82" s="1">
        <v>40422</v>
      </c>
      <c r="B82">
        <v>41.28295</v>
      </c>
      <c r="C82">
        <f t="shared" si="2"/>
        <v>482.03647999999998</v>
      </c>
      <c r="D82">
        <v>70</v>
      </c>
      <c r="F82">
        <f t="shared" si="3"/>
        <v>493.71550408128365</v>
      </c>
    </row>
    <row r="83" spans="1:6" x14ac:dyDescent="0.25">
      <c r="A83" s="1">
        <v>40452</v>
      </c>
      <c r="B83">
        <v>44.390770000000003</v>
      </c>
      <c r="C83">
        <f t="shared" si="2"/>
        <v>487.97379999999998</v>
      </c>
      <c r="D83">
        <v>71</v>
      </c>
      <c r="F83">
        <f t="shared" si="3"/>
        <v>497.50372037336598</v>
      </c>
    </row>
    <row r="84" spans="1:6" x14ac:dyDescent="0.25">
      <c r="A84" s="1">
        <v>40483</v>
      </c>
      <c r="B84">
        <v>45.921489999999999</v>
      </c>
      <c r="C84">
        <f t="shared" si="2"/>
        <v>496.27677999999997</v>
      </c>
      <c r="D84">
        <v>72</v>
      </c>
      <c r="F84">
        <f t="shared" si="3"/>
        <v>501.2919366654483</v>
      </c>
    </row>
    <row r="85" spans="1:6" x14ac:dyDescent="0.25">
      <c r="A85" s="1">
        <v>40513</v>
      </c>
      <c r="B85">
        <v>57.796140000000001</v>
      </c>
      <c r="C85">
        <f t="shared" si="2"/>
        <v>505.13638000000003</v>
      </c>
      <c r="D85">
        <v>73</v>
      </c>
      <c r="F85">
        <f t="shared" si="3"/>
        <v>505.08015295753069</v>
      </c>
    </row>
    <row r="86" spans="1:6" x14ac:dyDescent="0.25">
      <c r="A86" s="1">
        <v>40544</v>
      </c>
      <c r="B86">
        <v>40.819099999999999</v>
      </c>
      <c r="C86">
        <f t="shared" si="2"/>
        <v>510.56346000000002</v>
      </c>
      <c r="D86">
        <v>74</v>
      </c>
      <c r="F86">
        <f t="shared" si="3"/>
        <v>508.86836924961301</v>
      </c>
    </row>
    <row r="87" spans="1:6" x14ac:dyDescent="0.25">
      <c r="A87" s="1">
        <v>40575</v>
      </c>
      <c r="B87">
        <v>40.401629999999997</v>
      </c>
      <c r="C87">
        <f t="shared" si="2"/>
        <v>517.52125999999998</v>
      </c>
      <c r="D87">
        <v>75</v>
      </c>
      <c r="F87">
        <f t="shared" si="3"/>
        <v>512.65658554169534</v>
      </c>
    </row>
    <row r="88" spans="1:6" x14ac:dyDescent="0.25">
      <c r="A88" s="1">
        <v>40603</v>
      </c>
      <c r="B88">
        <v>44.669080000000001</v>
      </c>
      <c r="C88">
        <f t="shared" si="2"/>
        <v>519.05196999999998</v>
      </c>
      <c r="D88">
        <v>76</v>
      </c>
      <c r="F88">
        <f t="shared" si="3"/>
        <v>516.44480183377766</v>
      </c>
    </row>
    <row r="89" spans="1:6" x14ac:dyDescent="0.25">
      <c r="A89" s="1">
        <v>40634</v>
      </c>
      <c r="B89">
        <v>44.298000000000002</v>
      </c>
      <c r="C89">
        <f t="shared" si="2"/>
        <v>524.47904999999992</v>
      </c>
      <c r="D89">
        <v>77</v>
      </c>
      <c r="F89">
        <f t="shared" si="3"/>
        <v>520.23301812585999</v>
      </c>
    </row>
    <row r="90" spans="1:6" x14ac:dyDescent="0.25">
      <c r="A90" s="1">
        <v>40664</v>
      </c>
      <c r="B90">
        <v>46.246189999999999</v>
      </c>
      <c r="C90">
        <f t="shared" si="2"/>
        <v>530.04529000000002</v>
      </c>
      <c r="D90">
        <v>78</v>
      </c>
      <c r="F90">
        <f t="shared" si="3"/>
        <v>524.02123441794231</v>
      </c>
    </row>
    <row r="91" spans="1:6" x14ac:dyDescent="0.25">
      <c r="A91" s="1">
        <v>40695</v>
      </c>
      <c r="B91">
        <v>45.596789999999999</v>
      </c>
      <c r="C91">
        <f t="shared" si="2"/>
        <v>535.33321999999998</v>
      </c>
      <c r="D91">
        <v>79</v>
      </c>
      <c r="F91">
        <f t="shared" si="3"/>
        <v>527.80945071002463</v>
      </c>
    </row>
    <row r="92" spans="1:6" x14ac:dyDescent="0.25">
      <c r="A92" s="1">
        <v>40725</v>
      </c>
      <c r="B92">
        <v>45.318480000000001</v>
      </c>
      <c r="C92">
        <f t="shared" si="2"/>
        <v>539.13682000000006</v>
      </c>
      <c r="D92">
        <v>80</v>
      </c>
      <c r="F92">
        <f t="shared" si="3"/>
        <v>531.59766700210696</v>
      </c>
    </row>
    <row r="93" spans="1:6" x14ac:dyDescent="0.25">
      <c r="A93" s="1">
        <v>40756</v>
      </c>
      <c r="B93">
        <v>46.570880000000002</v>
      </c>
      <c r="C93">
        <f t="shared" si="2"/>
        <v>543.31150000000002</v>
      </c>
      <c r="D93">
        <v>81</v>
      </c>
      <c r="F93">
        <f t="shared" si="3"/>
        <v>535.38588329418928</v>
      </c>
    </row>
    <row r="94" spans="1:6" x14ac:dyDescent="0.25">
      <c r="A94" s="1">
        <v>40787</v>
      </c>
      <c r="B94">
        <v>44.85463</v>
      </c>
      <c r="C94">
        <f t="shared" si="2"/>
        <v>546.88318000000004</v>
      </c>
      <c r="D94">
        <v>82</v>
      </c>
      <c r="F94">
        <f t="shared" si="3"/>
        <v>539.17409958627172</v>
      </c>
    </row>
    <row r="95" spans="1:6" x14ac:dyDescent="0.25">
      <c r="A95" s="1">
        <v>40817</v>
      </c>
      <c r="B95">
        <v>46.941969999999998</v>
      </c>
      <c r="C95">
        <f t="shared" si="2"/>
        <v>549.43438000000003</v>
      </c>
      <c r="D95">
        <v>83</v>
      </c>
      <c r="F95">
        <f t="shared" si="3"/>
        <v>542.96231587835405</v>
      </c>
    </row>
    <row r="96" spans="1:6" x14ac:dyDescent="0.25">
      <c r="A96" s="1">
        <v>40848</v>
      </c>
      <c r="B96">
        <v>48.426299999999998</v>
      </c>
      <c r="C96">
        <f t="shared" si="2"/>
        <v>551.93918999999994</v>
      </c>
      <c r="D96">
        <v>84</v>
      </c>
      <c r="F96">
        <f t="shared" si="3"/>
        <v>546.75053217043637</v>
      </c>
    </row>
    <row r="97" spans="1:6" x14ac:dyDescent="0.25">
      <c r="A97" s="1">
        <v>40878</v>
      </c>
      <c r="B97">
        <v>62.527439999999999</v>
      </c>
      <c r="C97">
        <f t="shared" si="2"/>
        <v>556.67048999999997</v>
      </c>
      <c r="D97">
        <v>85</v>
      </c>
      <c r="F97">
        <f t="shared" si="3"/>
        <v>550.5387484625187</v>
      </c>
    </row>
    <row r="98" spans="1:6" x14ac:dyDescent="0.25">
      <c r="A98" s="1">
        <v>40909</v>
      </c>
      <c r="B98">
        <v>45.596789999999999</v>
      </c>
      <c r="C98">
        <f t="shared" si="2"/>
        <v>561.44817999999987</v>
      </c>
      <c r="D98">
        <v>86</v>
      </c>
      <c r="F98">
        <f t="shared" si="3"/>
        <v>554.32696475460102</v>
      </c>
    </row>
    <row r="99" spans="1:6" x14ac:dyDescent="0.25">
      <c r="A99" s="1">
        <v>40940</v>
      </c>
      <c r="B99">
        <v>41.885959999999997</v>
      </c>
      <c r="C99">
        <f t="shared" si="2"/>
        <v>562.93250999999998</v>
      </c>
      <c r="D99">
        <v>87</v>
      </c>
      <c r="F99">
        <f t="shared" si="3"/>
        <v>558.11518104668335</v>
      </c>
    </row>
    <row r="100" spans="1:6" x14ac:dyDescent="0.25">
      <c r="A100" s="1">
        <v>40969</v>
      </c>
      <c r="B100">
        <v>49.910629999999998</v>
      </c>
      <c r="C100">
        <f t="shared" si="2"/>
        <v>568.17405999999994</v>
      </c>
      <c r="D100">
        <v>88</v>
      </c>
      <c r="F100">
        <f t="shared" si="3"/>
        <v>561.90339733876567</v>
      </c>
    </row>
    <row r="101" spans="1:6" x14ac:dyDescent="0.25">
      <c r="A101" s="1">
        <v>41000</v>
      </c>
      <c r="B101">
        <v>46.246189999999999</v>
      </c>
      <c r="C101">
        <f t="shared" si="2"/>
        <v>570.12225000000001</v>
      </c>
      <c r="D101">
        <v>89</v>
      </c>
      <c r="F101">
        <f t="shared" si="3"/>
        <v>565.691613630848</v>
      </c>
    </row>
    <row r="102" spans="1:6" x14ac:dyDescent="0.25">
      <c r="A102" s="1">
        <v>41030</v>
      </c>
      <c r="B102">
        <v>49.725090000000002</v>
      </c>
      <c r="C102">
        <f t="shared" si="2"/>
        <v>573.60114999999996</v>
      </c>
      <c r="D102">
        <v>90</v>
      </c>
      <c r="F102">
        <f t="shared" si="3"/>
        <v>569.47982992293032</v>
      </c>
    </row>
    <row r="103" spans="1:6" x14ac:dyDescent="0.25">
      <c r="A103" s="1">
        <v>41061</v>
      </c>
      <c r="B103">
        <v>51.255800000000001</v>
      </c>
      <c r="C103">
        <f t="shared" si="2"/>
        <v>579.26016000000004</v>
      </c>
      <c r="D103">
        <v>91</v>
      </c>
      <c r="F103">
        <f t="shared" si="3"/>
        <v>573.26804621501265</v>
      </c>
    </row>
    <row r="104" spans="1:6" x14ac:dyDescent="0.25">
      <c r="A104" s="1">
        <v>41091</v>
      </c>
      <c r="B104">
        <v>49.771470000000001</v>
      </c>
      <c r="C104">
        <f t="shared" si="2"/>
        <v>583.71315000000004</v>
      </c>
      <c r="D104">
        <v>92</v>
      </c>
      <c r="F104">
        <f t="shared" si="3"/>
        <v>577.05626250709497</v>
      </c>
    </row>
    <row r="105" spans="1:6" x14ac:dyDescent="0.25">
      <c r="A105" s="1">
        <v>41122</v>
      </c>
      <c r="B105">
        <v>54.827469999999998</v>
      </c>
      <c r="C105">
        <f t="shared" si="2"/>
        <v>591.96974</v>
      </c>
      <c r="D105">
        <v>93</v>
      </c>
      <c r="F105">
        <f t="shared" si="3"/>
        <v>580.8444787991773</v>
      </c>
    </row>
    <row r="106" spans="1:6" x14ac:dyDescent="0.25">
      <c r="A106" s="1">
        <v>41153</v>
      </c>
      <c r="B106">
        <v>47.266660000000002</v>
      </c>
      <c r="C106">
        <f t="shared" si="2"/>
        <v>594.38177000000007</v>
      </c>
      <c r="D106">
        <v>94</v>
      </c>
      <c r="F106">
        <f t="shared" si="3"/>
        <v>584.63269509125962</v>
      </c>
    </row>
    <row r="107" spans="1:6" x14ac:dyDescent="0.25">
      <c r="A107" s="1">
        <v>41183</v>
      </c>
      <c r="B107">
        <v>55.152169999999998</v>
      </c>
      <c r="C107">
        <f t="shared" si="2"/>
        <v>602.59197000000006</v>
      </c>
      <c r="D107">
        <v>95</v>
      </c>
      <c r="F107">
        <f t="shared" si="3"/>
        <v>588.42091138334195</v>
      </c>
    </row>
    <row r="108" spans="1:6" x14ac:dyDescent="0.25">
      <c r="A108" s="1">
        <v>41214</v>
      </c>
      <c r="B108">
        <v>53.714230000000001</v>
      </c>
      <c r="C108">
        <f t="shared" si="2"/>
        <v>607.87990000000013</v>
      </c>
      <c r="D108">
        <v>96</v>
      </c>
      <c r="F108">
        <f t="shared" si="3"/>
        <v>592.20912767542427</v>
      </c>
    </row>
    <row r="109" spans="1:6" x14ac:dyDescent="0.25">
      <c r="A109" s="1">
        <v>41244</v>
      </c>
      <c r="B109">
        <v>66.470200000000006</v>
      </c>
      <c r="C109">
        <f t="shared" si="2"/>
        <v>611.82266000000004</v>
      </c>
      <c r="D109">
        <v>97</v>
      </c>
      <c r="F109">
        <f t="shared" si="3"/>
        <v>595.99734396750659</v>
      </c>
    </row>
    <row r="110" spans="1:6" x14ac:dyDescent="0.25">
      <c r="A110" s="1">
        <v>41275</v>
      </c>
      <c r="B110">
        <v>50.606409999999997</v>
      </c>
      <c r="C110">
        <f t="shared" si="2"/>
        <v>616.83227999999997</v>
      </c>
      <c r="D110">
        <v>98</v>
      </c>
      <c r="F110">
        <f t="shared" si="3"/>
        <v>599.78556025958892</v>
      </c>
    </row>
    <row r="111" spans="1:6" x14ac:dyDescent="0.25">
      <c r="A111" s="1">
        <v>41306</v>
      </c>
      <c r="B111">
        <v>45.086550000000003</v>
      </c>
      <c r="C111">
        <f t="shared" si="2"/>
        <v>620.03287</v>
      </c>
      <c r="D111">
        <v>99</v>
      </c>
      <c r="F111">
        <f t="shared" si="3"/>
        <v>603.57377655167124</v>
      </c>
    </row>
    <row r="112" spans="1:6" x14ac:dyDescent="0.25">
      <c r="A112" s="1">
        <v>41334</v>
      </c>
      <c r="B112">
        <v>55.430480000000003</v>
      </c>
      <c r="C112">
        <f t="shared" si="2"/>
        <v>625.55271999999991</v>
      </c>
      <c r="D112">
        <v>100</v>
      </c>
      <c r="F112">
        <f t="shared" si="3"/>
        <v>607.36199284375357</v>
      </c>
    </row>
    <row r="113" spans="1:6" x14ac:dyDescent="0.25">
      <c r="A113" s="1">
        <v>41365</v>
      </c>
      <c r="B113">
        <v>53.575069999999997</v>
      </c>
      <c r="C113">
        <f t="shared" si="2"/>
        <v>632.88159999999993</v>
      </c>
      <c r="D113">
        <v>101</v>
      </c>
      <c r="F113">
        <f t="shared" si="3"/>
        <v>611.15020913583589</v>
      </c>
    </row>
    <row r="114" spans="1:6" x14ac:dyDescent="0.25">
      <c r="A114" s="1">
        <v>41395</v>
      </c>
      <c r="B114">
        <v>54.038919999999997</v>
      </c>
      <c r="C114">
        <f t="shared" si="2"/>
        <v>637.19542999999987</v>
      </c>
      <c r="D114">
        <v>102</v>
      </c>
      <c r="F114">
        <f t="shared" si="3"/>
        <v>614.93842542791822</v>
      </c>
    </row>
    <row r="115" spans="1:6" x14ac:dyDescent="0.25">
      <c r="A115" s="1">
        <v>41426</v>
      </c>
      <c r="B115">
        <v>54.363619999999997</v>
      </c>
      <c r="C115">
        <f t="shared" si="2"/>
        <v>640.30324999999982</v>
      </c>
      <c r="D115">
        <v>103</v>
      </c>
      <c r="F115">
        <f t="shared" si="3"/>
        <v>618.72664172000054</v>
      </c>
    </row>
    <row r="116" spans="1:6" x14ac:dyDescent="0.25">
      <c r="A116" s="1">
        <v>41456</v>
      </c>
      <c r="B116">
        <v>57.51782</v>
      </c>
      <c r="C116">
        <f t="shared" si="2"/>
        <v>648.04959999999994</v>
      </c>
      <c r="D116">
        <v>104</v>
      </c>
      <c r="F116">
        <f t="shared" si="3"/>
        <v>622.51485801208287</v>
      </c>
    </row>
    <row r="117" spans="1:6" x14ac:dyDescent="0.25">
      <c r="A117" s="1">
        <v>41487</v>
      </c>
      <c r="B117">
        <v>58.028060000000004</v>
      </c>
      <c r="C117">
        <f t="shared" si="2"/>
        <v>651.25018999999998</v>
      </c>
      <c r="D117">
        <v>105</v>
      </c>
      <c r="F117">
        <f t="shared" si="3"/>
        <v>626.30307430416519</v>
      </c>
    </row>
    <row r="118" spans="1:6" x14ac:dyDescent="0.25">
      <c r="A118" s="1">
        <v>41518</v>
      </c>
      <c r="B118">
        <v>56.126260000000002</v>
      </c>
      <c r="C118">
        <f t="shared" si="2"/>
        <v>660.10978999999998</v>
      </c>
      <c r="D118">
        <v>106</v>
      </c>
      <c r="F118">
        <f t="shared" si="3"/>
        <v>630.09129059624752</v>
      </c>
    </row>
    <row r="119" spans="1:6" x14ac:dyDescent="0.25">
      <c r="A119" s="1">
        <v>41548</v>
      </c>
      <c r="B119">
        <v>61.182270000000003</v>
      </c>
      <c r="C119">
        <f t="shared" si="2"/>
        <v>666.13989000000004</v>
      </c>
      <c r="D119">
        <v>107</v>
      </c>
      <c r="F119">
        <f t="shared" si="3"/>
        <v>633.87950688832996</v>
      </c>
    </row>
    <row r="120" spans="1:6" x14ac:dyDescent="0.25">
      <c r="A120" s="1">
        <v>41579</v>
      </c>
      <c r="B120">
        <v>61.831659999999999</v>
      </c>
      <c r="C120">
        <f t="shared" si="2"/>
        <v>674.25731999999994</v>
      </c>
      <c r="D120">
        <v>108</v>
      </c>
      <c r="F120">
        <f t="shared" si="3"/>
        <v>637.66772318041228</v>
      </c>
    </row>
    <row r="121" spans="1:6" x14ac:dyDescent="0.25">
      <c r="A121" s="1">
        <v>41609</v>
      </c>
      <c r="B121">
        <v>75.237030000000004</v>
      </c>
      <c r="C121">
        <f t="shared" si="2"/>
        <v>683.02414999999996</v>
      </c>
      <c r="D121">
        <v>109</v>
      </c>
      <c r="F121">
        <f t="shared" si="3"/>
        <v>641.45593947249461</v>
      </c>
    </row>
    <row r="122" spans="1:6" x14ac:dyDescent="0.25">
      <c r="A122" s="1">
        <v>41640</v>
      </c>
      <c r="B122">
        <v>59.002160000000003</v>
      </c>
      <c r="C122">
        <f t="shared" si="2"/>
        <v>691.4199000000001</v>
      </c>
      <c r="D122">
        <v>110</v>
      </c>
      <c r="F122">
        <f t="shared" si="3"/>
        <v>645.24415576457693</v>
      </c>
    </row>
    <row r="123" spans="1:6" x14ac:dyDescent="0.25">
      <c r="A123" s="1">
        <v>41671</v>
      </c>
      <c r="B123">
        <v>53.343139999999998</v>
      </c>
      <c r="C123">
        <f t="shared" si="2"/>
        <v>699.67648999999994</v>
      </c>
      <c r="D123">
        <v>111</v>
      </c>
      <c r="F123">
        <f t="shared" si="3"/>
        <v>649.03237205665926</v>
      </c>
    </row>
    <row r="124" spans="1:6" x14ac:dyDescent="0.25">
      <c r="A124" s="1">
        <v>41699</v>
      </c>
      <c r="B124">
        <v>56.219029999999997</v>
      </c>
      <c r="C124">
        <f t="shared" si="2"/>
        <v>700.46503999999993</v>
      </c>
      <c r="D124">
        <v>112</v>
      </c>
      <c r="F124">
        <f t="shared" si="3"/>
        <v>652.82058834874158</v>
      </c>
    </row>
    <row r="125" spans="1:6" x14ac:dyDescent="0.25">
      <c r="A125" s="1">
        <v>41730</v>
      </c>
      <c r="B125">
        <v>58.445529999999998</v>
      </c>
      <c r="C125">
        <f t="shared" si="2"/>
        <v>705.33549999999991</v>
      </c>
      <c r="D125">
        <v>113</v>
      </c>
      <c r="F125">
        <f t="shared" si="3"/>
        <v>656.60880464082391</v>
      </c>
    </row>
    <row r="126" spans="1:6" x14ac:dyDescent="0.25">
      <c r="A126" s="1">
        <v>41760</v>
      </c>
      <c r="B126">
        <v>60.115400000000001</v>
      </c>
      <c r="C126">
        <f t="shared" si="2"/>
        <v>711.41197999999997</v>
      </c>
      <c r="D126">
        <v>114</v>
      </c>
      <c r="F126">
        <f t="shared" si="3"/>
        <v>660.39702093290623</v>
      </c>
    </row>
    <row r="127" spans="1:6" x14ac:dyDescent="0.25">
      <c r="A127" s="1">
        <v>41791</v>
      </c>
      <c r="B127">
        <v>53.575069999999997</v>
      </c>
      <c r="C127">
        <f t="shared" si="2"/>
        <v>710.62342999999998</v>
      </c>
      <c r="D127">
        <v>115</v>
      </c>
      <c r="F127">
        <f t="shared" si="3"/>
        <v>664.18523722498855</v>
      </c>
    </row>
    <row r="128" spans="1:6" x14ac:dyDescent="0.25">
      <c r="A128" s="1">
        <v>41821</v>
      </c>
      <c r="B128">
        <v>58.306379999999997</v>
      </c>
      <c r="C128">
        <f t="shared" si="2"/>
        <v>711.41198999999995</v>
      </c>
      <c r="D128">
        <v>116</v>
      </c>
      <c r="F128">
        <f t="shared" si="3"/>
        <v>667.97345351707099</v>
      </c>
    </row>
    <row r="129" spans="1:6" x14ac:dyDescent="0.25">
      <c r="A129" s="1">
        <v>41852</v>
      </c>
      <c r="B129">
        <v>58.306379999999997</v>
      </c>
      <c r="C129">
        <f t="shared" si="2"/>
        <v>711.69030999999995</v>
      </c>
      <c r="D129">
        <v>117</v>
      </c>
      <c r="F129">
        <f t="shared" si="3"/>
        <v>671.76166980915332</v>
      </c>
    </row>
    <row r="130" spans="1:6" x14ac:dyDescent="0.25">
      <c r="A130" s="1">
        <v>41883</v>
      </c>
      <c r="B130">
        <v>59.605159999999998</v>
      </c>
      <c r="C130">
        <f t="shared" si="2"/>
        <v>715.16921000000002</v>
      </c>
      <c r="D130">
        <v>118</v>
      </c>
      <c r="F130">
        <f t="shared" si="3"/>
        <v>675.54988610123564</v>
      </c>
    </row>
    <row r="131" spans="1:6" x14ac:dyDescent="0.25">
      <c r="A131" s="1">
        <v>41913</v>
      </c>
      <c r="B131">
        <v>62.852139999999999</v>
      </c>
      <c r="C131">
        <f t="shared" si="2"/>
        <v>716.83907999999997</v>
      </c>
      <c r="D131">
        <v>119</v>
      </c>
      <c r="F131">
        <f t="shared" si="3"/>
        <v>679.33810239331797</v>
      </c>
    </row>
    <row r="132" spans="1:6" x14ac:dyDescent="0.25">
      <c r="A132" s="1">
        <v>41944</v>
      </c>
      <c r="B132">
        <v>63.501530000000002</v>
      </c>
      <c r="C132">
        <f t="shared" si="2"/>
        <v>718.50894999999991</v>
      </c>
      <c r="D132">
        <v>120</v>
      </c>
      <c r="F132">
        <f t="shared" si="3"/>
        <v>683.12631868540029</v>
      </c>
    </row>
    <row r="133" spans="1:6" x14ac:dyDescent="0.25">
      <c r="A133" s="1">
        <v>41974</v>
      </c>
      <c r="B133">
        <v>75.886420000000001</v>
      </c>
      <c r="C133">
        <f t="shared" si="2"/>
        <v>719.15833999999995</v>
      </c>
      <c r="D133">
        <v>121</v>
      </c>
      <c r="F133">
        <f t="shared" si="3"/>
        <v>686.91453497748262</v>
      </c>
    </row>
    <row r="134" spans="1:6" x14ac:dyDescent="0.25">
      <c r="A134" s="1">
        <v>42005</v>
      </c>
      <c r="B134">
        <v>57.05397</v>
      </c>
      <c r="C134">
        <f t="shared" si="2"/>
        <v>717.21015000000011</v>
      </c>
      <c r="D134">
        <v>122</v>
      </c>
      <c r="F134">
        <f t="shared" si="3"/>
        <v>690.70275126956494</v>
      </c>
    </row>
    <row r="135" spans="1:6" x14ac:dyDescent="0.25">
      <c r="A135" s="1">
        <v>42036</v>
      </c>
      <c r="B135">
        <v>49.122079999999997</v>
      </c>
      <c r="C135">
        <f t="shared" si="2"/>
        <v>712.98909000000003</v>
      </c>
      <c r="D135">
        <v>123</v>
      </c>
      <c r="F135">
        <f t="shared" si="3"/>
        <v>694.49096756164727</v>
      </c>
    </row>
    <row r="136" spans="1:6" x14ac:dyDescent="0.25">
      <c r="A136" s="1">
        <v>42064</v>
      </c>
      <c r="B136">
        <v>58.49192</v>
      </c>
      <c r="C136">
        <f t="shared" si="2"/>
        <v>715.26198000000011</v>
      </c>
      <c r="D136">
        <v>124</v>
      </c>
      <c r="F136">
        <f t="shared" si="3"/>
        <v>698.27918385372959</v>
      </c>
    </row>
    <row r="137" spans="1:6" x14ac:dyDescent="0.25">
      <c r="A137" s="1">
        <v>42095</v>
      </c>
      <c r="B137">
        <v>55.430480000000003</v>
      </c>
      <c r="C137">
        <f t="shared" si="2"/>
        <v>712.24693000000002</v>
      </c>
      <c r="D137">
        <v>125</v>
      </c>
      <c r="F137">
        <f t="shared" si="3"/>
        <v>702.06740014581192</v>
      </c>
    </row>
    <row r="138" spans="1:6" x14ac:dyDescent="0.25">
      <c r="A138" s="1">
        <v>42125</v>
      </c>
      <c r="B138">
        <v>55.940719999999999</v>
      </c>
      <c r="C138">
        <f t="shared" si="2"/>
        <v>708.07224999999994</v>
      </c>
      <c r="D138">
        <v>126</v>
      </c>
      <c r="F138">
        <f t="shared" si="3"/>
        <v>705.85561643789424</v>
      </c>
    </row>
    <row r="139" spans="1:6" x14ac:dyDescent="0.25">
      <c r="A139" s="1">
        <v>42156</v>
      </c>
      <c r="B139">
        <v>54.131689999999999</v>
      </c>
      <c r="C139">
        <f t="shared" si="2"/>
        <v>708.62887000000012</v>
      </c>
      <c r="D139">
        <v>127</v>
      </c>
      <c r="F139">
        <f t="shared" si="3"/>
        <v>709.64383272997657</v>
      </c>
    </row>
    <row r="140" spans="1:6" x14ac:dyDescent="0.25">
      <c r="A140" s="1">
        <v>42186</v>
      </c>
      <c r="B140">
        <v>55.801569999999998</v>
      </c>
      <c r="C140">
        <f t="shared" si="2"/>
        <v>706.1240600000001</v>
      </c>
      <c r="D140">
        <v>128</v>
      </c>
      <c r="F140">
        <f t="shared" si="3"/>
        <v>713.43204902205889</v>
      </c>
    </row>
    <row r="141" spans="1:6" x14ac:dyDescent="0.25">
      <c r="A141" s="1">
        <v>42217</v>
      </c>
      <c r="B141">
        <v>54.641930000000002</v>
      </c>
      <c r="C141">
        <f t="shared" si="2"/>
        <v>702.45961</v>
      </c>
      <c r="D141">
        <v>129</v>
      </c>
      <c r="F141">
        <f t="shared" si="3"/>
        <v>717.22026531414122</v>
      </c>
    </row>
    <row r="142" spans="1:6" x14ac:dyDescent="0.25">
      <c r="A142" s="1">
        <v>42248</v>
      </c>
      <c r="B142">
        <v>53.343139999999998</v>
      </c>
      <c r="C142">
        <f t="shared" ref="C142:C205" si="4">SUM(B131:B142)</f>
        <v>696.19758999999988</v>
      </c>
      <c r="D142">
        <v>130</v>
      </c>
      <c r="F142">
        <f t="shared" ref="F142:F205" si="5">$I$5+$I$4*D142</f>
        <v>721.00848160622354</v>
      </c>
    </row>
    <row r="143" spans="1:6" x14ac:dyDescent="0.25">
      <c r="A143" s="1">
        <v>42278</v>
      </c>
      <c r="B143">
        <v>57.285899999999998</v>
      </c>
      <c r="C143">
        <f t="shared" si="4"/>
        <v>690.63134999999988</v>
      </c>
      <c r="D143">
        <v>131</v>
      </c>
      <c r="F143">
        <f t="shared" si="5"/>
        <v>724.79669789830587</v>
      </c>
    </row>
    <row r="144" spans="1:6" x14ac:dyDescent="0.25">
      <c r="A144" s="1">
        <v>42309</v>
      </c>
      <c r="B144">
        <v>55.801569999999998</v>
      </c>
      <c r="C144">
        <f t="shared" si="4"/>
        <v>682.93138999999985</v>
      </c>
      <c r="D144">
        <v>132</v>
      </c>
      <c r="F144">
        <f t="shared" si="5"/>
        <v>728.58491419038819</v>
      </c>
    </row>
    <row r="145" spans="1:6" x14ac:dyDescent="0.25">
      <c r="A145" s="1">
        <v>42339</v>
      </c>
      <c r="B145">
        <v>69.20693</v>
      </c>
      <c r="C145">
        <f t="shared" si="4"/>
        <v>676.25189999999998</v>
      </c>
      <c r="D145">
        <v>133</v>
      </c>
      <c r="F145">
        <f t="shared" si="5"/>
        <v>732.37313048247051</v>
      </c>
    </row>
    <row r="146" spans="1:6" x14ac:dyDescent="0.25">
      <c r="A146" s="1">
        <v>42370</v>
      </c>
      <c r="B146">
        <v>53.018450000000001</v>
      </c>
      <c r="C146">
        <f t="shared" si="4"/>
        <v>672.21638000000007</v>
      </c>
      <c r="D146">
        <v>134</v>
      </c>
      <c r="F146">
        <f t="shared" si="5"/>
        <v>736.16134677455284</v>
      </c>
    </row>
    <row r="147" spans="1:6" x14ac:dyDescent="0.25">
      <c r="A147" s="1">
        <v>42401</v>
      </c>
      <c r="B147">
        <v>50.838340000000002</v>
      </c>
      <c r="C147">
        <f t="shared" si="4"/>
        <v>673.93263999999999</v>
      </c>
      <c r="D147">
        <v>135</v>
      </c>
      <c r="F147">
        <f t="shared" si="5"/>
        <v>739.94956306663516</v>
      </c>
    </row>
    <row r="148" spans="1:6" x14ac:dyDescent="0.25">
      <c r="A148" s="1">
        <v>42430</v>
      </c>
      <c r="B148">
        <v>57.239510000000003</v>
      </c>
      <c r="C148">
        <f t="shared" si="4"/>
        <v>672.68022999999994</v>
      </c>
      <c r="D148">
        <v>136</v>
      </c>
      <c r="F148">
        <f t="shared" si="5"/>
        <v>743.73777935871749</v>
      </c>
    </row>
    <row r="149" spans="1:6" x14ac:dyDescent="0.25">
      <c r="A149" s="1">
        <v>42461</v>
      </c>
      <c r="B149">
        <v>53.714230000000001</v>
      </c>
      <c r="C149">
        <f t="shared" si="4"/>
        <v>670.96397999999999</v>
      </c>
      <c r="D149">
        <v>137</v>
      </c>
      <c r="F149">
        <f t="shared" si="5"/>
        <v>747.52599565079981</v>
      </c>
    </row>
    <row r="150" spans="1:6" x14ac:dyDescent="0.25">
      <c r="A150" s="1">
        <v>42491</v>
      </c>
      <c r="B150">
        <v>54.966630000000002</v>
      </c>
      <c r="C150">
        <f t="shared" si="4"/>
        <v>669.98989000000006</v>
      </c>
      <c r="D150">
        <v>138</v>
      </c>
      <c r="F150">
        <f t="shared" si="5"/>
        <v>751.31421194288214</v>
      </c>
    </row>
    <row r="151" spans="1:6" x14ac:dyDescent="0.25">
      <c r="A151" s="1">
        <v>42522</v>
      </c>
      <c r="B151">
        <v>55.291330000000002</v>
      </c>
      <c r="C151">
        <f t="shared" si="4"/>
        <v>671.14953000000003</v>
      </c>
      <c r="D151">
        <v>139</v>
      </c>
      <c r="F151">
        <f t="shared" si="5"/>
        <v>755.10242823496446</v>
      </c>
    </row>
    <row r="152" spans="1:6" x14ac:dyDescent="0.25">
      <c r="A152" s="1">
        <v>42552</v>
      </c>
      <c r="B152">
        <v>55.152169999999998</v>
      </c>
      <c r="C152">
        <f t="shared" si="4"/>
        <v>670.5001299999999</v>
      </c>
      <c r="D152">
        <v>140</v>
      </c>
      <c r="F152">
        <f t="shared" si="5"/>
        <v>758.89064452704679</v>
      </c>
    </row>
    <row r="153" spans="1:6" x14ac:dyDescent="0.25">
      <c r="A153" s="1">
        <v>42583</v>
      </c>
      <c r="B153">
        <v>55.337710000000001</v>
      </c>
      <c r="C153">
        <f t="shared" si="4"/>
        <v>671.19590999999991</v>
      </c>
      <c r="D153">
        <v>141</v>
      </c>
      <c r="F153">
        <f t="shared" si="5"/>
        <v>762.67886081912911</v>
      </c>
    </row>
    <row r="154" spans="1:6" x14ac:dyDescent="0.25">
      <c r="A154" s="1">
        <v>42614</v>
      </c>
      <c r="B154">
        <v>52.740130000000001</v>
      </c>
      <c r="C154">
        <f t="shared" si="4"/>
        <v>670.59289999999999</v>
      </c>
      <c r="D154">
        <v>142</v>
      </c>
      <c r="F154">
        <f t="shared" si="5"/>
        <v>766.46707711121144</v>
      </c>
    </row>
    <row r="155" spans="1:6" x14ac:dyDescent="0.25">
      <c r="A155" s="1">
        <v>42644</v>
      </c>
      <c r="B155">
        <v>56.126260000000002</v>
      </c>
      <c r="C155">
        <f t="shared" si="4"/>
        <v>669.43326000000002</v>
      </c>
      <c r="D155">
        <v>143</v>
      </c>
      <c r="F155">
        <f t="shared" si="5"/>
        <v>770.25529340329376</v>
      </c>
    </row>
    <row r="156" spans="1:6" x14ac:dyDescent="0.25">
      <c r="A156" s="1">
        <v>42675</v>
      </c>
      <c r="B156">
        <v>56.35819</v>
      </c>
      <c r="C156">
        <f t="shared" si="4"/>
        <v>669.98988000000008</v>
      </c>
      <c r="D156">
        <v>144</v>
      </c>
      <c r="F156">
        <f t="shared" si="5"/>
        <v>774.04350969537609</v>
      </c>
    </row>
    <row r="157" spans="1:6" x14ac:dyDescent="0.25">
      <c r="A157" s="1">
        <v>42705</v>
      </c>
      <c r="B157">
        <v>67.861760000000004</v>
      </c>
      <c r="C157">
        <f t="shared" si="4"/>
        <v>668.64471000000015</v>
      </c>
      <c r="D157">
        <v>145</v>
      </c>
      <c r="F157">
        <f t="shared" si="5"/>
        <v>777.83172598745841</v>
      </c>
    </row>
    <row r="158" spans="1:6" x14ac:dyDescent="0.25">
      <c r="A158" s="1">
        <v>42736</v>
      </c>
      <c r="B158">
        <v>59.682560000000002</v>
      </c>
      <c r="C158">
        <f t="shared" si="4"/>
        <v>675.30882000000008</v>
      </c>
      <c r="D158">
        <v>146</v>
      </c>
      <c r="F158">
        <f t="shared" si="5"/>
        <v>781.61994227954096</v>
      </c>
    </row>
    <row r="159" spans="1:6" x14ac:dyDescent="0.25">
      <c r="A159" s="1">
        <v>42767</v>
      </c>
      <c r="B159">
        <v>53.083970000000001</v>
      </c>
      <c r="C159">
        <f t="shared" si="4"/>
        <v>677.55444999999997</v>
      </c>
      <c r="D159">
        <v>147</v>
      </c>
      <c r="F159">
        <f t="shared" si="5"/>
        <v>785.40815857162329</v>
      </c>
    </row>
    <row r="160" spans="1:6" x14ac:dyDescent="0.25">
      <c r="A160" s="1">
        <v>42795</v>
      </c>
      <c r="B160">
        <v>63.411879999999996</v>
      </c>
      <c r="C160">
        <f t="shared" si="4"/>
        <v>683.72682000000009</v>
      </c>
      <c r="D160">
        <v>148</v>
      </c>
      <c r="F160">
        <f t="shared" si="5"/>
        <v>789.19637486370561</v>
      </c>
    </row>
    <row r="161" spans="1:6" x14ac:dyDescent="0.25">
      <c r="A161" s="1">
        <v>42826</v>
      </c>
      <c r="B161">
        <v>59.170819999999999</v>
      </c>
      <c r="C161">
        <f t="shared" si="4"/>
        <v>689.18341000000009</v>
      </c>
      <c r="D161">
        <v>149</v>
      </c>
      <c r="F161">
        <f t="shared" si="5"/>
        <v>792.98459115578794</v>
      </c>
    </row>
    <row r="162" spans="1:6" x14ac:dyDescent="0.25">
      <c r="A162" s="1">
        <v>42856</v>
      </c>
      <c r="B162">
        <v>62.050379999999997</v>
      </c>
      <c r="C162">
        <f t="shared" si="4"/>
        <v>696.2671600000001</v>
      </c>
      <c r="D162">
        <v>150</v>
      </c>
      <c r="F162">
        <f t="shared" si="5"/>
        <v>796.77280744787026</v>
      </c>
    </row>
    <row r="163" spans="1:6" x14ac:dyDescent="0.25">
      <c r="A163" s="1">
        <v>42887</v>
      </c>
      <c r="B163">
        <v>61.79504</v>
      </c>
      <c r="C163">
        <f t="shared" si="4"/>
        <v>702.77087000000006</v>
      </c>
      <c r="D163">
        <v>151</v>
      </c>
      <c r="F163">
        <f t="shared" si="5"/>
        <v>800.56102373995259</v>
      </c>
    </row>
    <row r="164" spans="1:6" x14ac:dyDescent="0.25">
      <c r="A164" s="1">
        <v>42917</v>
      </c>
      <c r="B164">
        <v>61.397039999999997</v>
      </c>
      <c r="C164">
        <f t="shared" si="4"/>
        <v>709.01574000000005</v>
      </c>
      <c r="D164">
        <v>152</v>
      </c>
      <c r="F164">
        <f t="shared" si="5"/>
        <v>804.34924003203491</v>
      </c>
    </row>
    <row r="165" spans="1:6" x14ac:dyDescent="0.25">
      <c r="A165" s="1">
        <v>42948</v>
      </c>
      <c r="B165">
        <v>64.496300000000005</v>
      </c>
      <c r="C165">
        <f t="shared" si="4"/>
        <v>718.17432999999994</v>
      </c>
      <c r="D165">
        <v>153</v>
      </c>
      <c r="F165">
        <f t="shared" si="5"/>
        <v>808.13745632411724</v>
      </c>
    </row>
    <row r="166" spans="1:6" x14ac:dyDescent="0.25">
      <c r="A166" s="1">
        <v>42979</v>
      </c>
      <c r="B166">
        <v>62.508000000000003</v>
      </c>
      <c r="C166">
        <f t="shared" si="4"/>
        <v>727.94220000000007</v>
      </c>
      <c r="D166">
        <v>154</v>
      </c>
      <c r="F166">
        <f t="shared" si="5"/>
        <v>811.92567261619956</v>
      </c>
    </row>
    <row r="167" spans="1:6" x14ac:dyDescent="0.25">
      <c r="A167" s="1">
        <v>43009</v>
      </c>
      <c r="B167">
        <v>65.46808</v>
      </c>
      <c r="C167">
        <f t="shared" si="4"/>
        <v>737.28402000000006</v>
      </c>
      <c r="D167">
        <v>155</v>
      </c>
      <c r="F167">
        <f t="shared" si="5"/>
        <v>815.71388890828189</v>
      </c>
    </row>
    <row r="168" spans="1:6" x14ac:dyDescent="0.25">
      <c r="A168" s="1">
        <v>43040</v>
      </c>
      <c r="B168">
        <v>68.195689999999999</v>
      </c>
      <c r="C168">
        <f t="shared" si="4"/>
        <v>749.12152000000003</v>
      </c>
      <c r="D168">
        <v>156</v>
      </c>
      <c r="F168">
        <f t="shared" si="5"/>
        <v>819.50210520036421</v>
      </c>
    </row>
    <row r="169" spans="1:6" x14ac:dyDescent="0.25">
      <c r="A169" s="1">
        <v>43070</v>
      </c>
      <c r="B169">
        <v>81.228890000000007</v>
      </c>
      <c r="C169">
        <f t="shared" si="4"/>
        <v>762.48865000000001</v>
      </c>
      <c r="D169">
        <v>157</v>
      </c>
      <c r="F169">
        <f t="shared" si="5"/>
        <v>823.29032149244654</v>
      </c>
    </row>
    <row r="170" spans="1:6" x14ac:dyDescent="0.25">
      <c r="A170" s="1">
        <v>43101</v>
      </c>
      <c r="B170">
        <v>65.234089999999995</v>
      </c>
      <c r="C170">
        <f t="shared" si="4"/>
        <v>768.04017999999996</v>
      </c>
      <c r="D170">
        <v>158</v>
      </c>
      <c r="F170">
        <f t="shared" si="5"/>
        <v>827.07853778452886</v>
      </c>
    </row>
    <row r="171" spans="1:6" x14ac:dyDescent="0.25">
      <c r="A171" s="1">
        <v>43132</v>
      </c>
      <c r="B171">
        <v>58.762999999999998</v>
      </c>
      <c r="C171">
        <f t="shared" si="4"/>
        <v>773.71920999999998</v>
      </c>
      <c r="D171">
        <v>159</v>
      </c>
      <c r="F171">
        <f t="shared" si="5"/>
        <v>830.86675407661119</v>
      </c>
    </row>
    <row r="172" spans="1:6" x14ac:dyDescent="0.25">
      <c r="A172" s="1">
        <v>43160</v>
      </c>
      <c r="B172">
        <v>70.704409999999996</v>
      </c>
      <c r="C172">
        <f t="shared" si="4"/>
        <v>781.01174000000015</v>
      </c>
      <c r="D172">
        <v>160</v>
      </c>
      <c r="F172">
        <f t="shared" si="5"/>
        <v>834.65497036869351</v>
      </c>
    </row>
    <row r="173" spans="1:6" x14ac:dyDescent="0.25">
      <c r="A173" s="1">
        <v>43191</v>
      </c>
      <c r="B173">
        <v>64.82056</v>
      </c>
      <c r="C173">
        <f t="shared" si="4"/>
        <v>786.6614800000001</v>
      </c>
      <c r="D173">
        <v>161</v>
      </c>
      <c r="F173">
        <f t="shared" si="5"/>
        <v>838.44318666077584</v>
      </c>
    </row>
    <row r="174" spans="1:6" x14ac:dyDescent="0.25">
      <c r="A174" s="1">
        <v>43221</v>
      </c>
      <c r="B174">
        <v>65.675600000000003</v>
      </c>
      <c r="C174">
        <f t="shared" si="4"/>
        <v>790.28670000000022</v>
      </c>
      <c r="D174">
        <v>162</v>
      </c>
      <c r="F174">
        <f t="shared" si="5"/>
        <v>842.23140295285816</v>
      </c>
    </row>
    <row r="175" spans="1:6" x14ac:dyDescent="0.25">
      <c r="A175" s="1">
        <v>43252</v>
      </c>
      <c r="B175">
        <v>68.093940000000003</v>
      </c>
      <c r="C175">
        <f t="shared" si="4"/>
        <v>796.5856</v>
      </c>
      <c r="D175">
        <v>163</v>
      </c>
      <c r="F175">
        <f t="shared" si="5"/>
        <v>846.01961924494049</v>
      </c>
    </row>
    <row r="176" spans="1:6" x14ac:dyDescent="0.25">
      <c r="A176" s="1">
        <v>43282</v>
      </c>
      <c r="B176">
        <v>66.347059999999999</v>
      </c>
      <c r="C176">
        <f t="shared" si="4"/>
        <v>801.53561999999988</v>
      </c>
      <c r="D176">
        <v>164</v>
      </c>
      <c r="F176">
        <f t="shared" si="5"/>
        <v>849.80783553702281</v>
      </c>
    </row>
    <row r="177" spans="1:6" x14ac:dyDescent="0.25">
      <c r="A177" s="1">
        <v>43313</v>
      </c>
      <c r="B177">
        <v>72.696359999999999</v>
      </c>
      <c r="C177">
        <f t="shared" si="4"/>
        <v>809.73568000000012</v>
      </c>
      <c r="D177">
        <v>165</v>
      </c>
      <c r="F177">
        <f t="shared" si="5"/>
        <v>853.59605182910514</v>
      </c>
    </row>
    <row r="178" spans="1:6" x14ac:dyDescent="0.25">
      <c r="A178" s="1">
        <v>43344</v>
      </c>
      <c r="B178">
        <v>68.173519999999996</v>
      </c>
      <c r="C178">
        <f t="shared" si="4"/>
        <v>815.40120000000002</v>
      </c>
      <c r="D178">
        <v>166</v>
      </c>
      <c r="F178">
        <f t="shared" si="5"/>
        <v>857.38426812118746</v>
      </c>
    </row>
    <row r="179" spans="1:6" x14ac:dyDescent="0.25">
      <c r="A179" s="1">
        <v>43374</v>
      </c>
      <c r="B179">
        <v>74.391459999999995</v>
      </c>
      <c r="C179">
        <f t="shared" si="4"/>
        <v>824.32457999999997</v>
      </c>
      <c r="D179">
        <v>167</v>
      </c>
      <c r="F179">
        <f t="shared" si="5"/>
        <v>861.17248441326979</v>
      </c>
    </row>
    <row r="180" spans="1:6" x14ac:dyDescent="0.25">
      <c r="A180" s="1">
        <v>43405</v>
      </c>
      <c r="B180">
        <v>76.28707</v>
      </c>
      <c r="C180">
        <f t="shared" si="4"/>
        <v>832.41595999999993</v>
      </c>
      <c r="D180">
        <v>168</v>
      </c>
      <c r="F180">
        <f t="shared" si="5"/>
        <v>864.96070070535211</v>
      </c>
    </row>
    <row r="181" spans="1:6" x14ac:dyDescent="0.25">
      <c r="A181" s="1">
        <v>43435</v>
      </c>
      <c r="B181">
        <v>87.847530000000006</v>
      </c>
      <c r="C181">
        <f t="shared" si="4"/>
        <v>839.03460000000007</v>
      </c>
      <c r="D181">
        <v>169</v>
      </c>
      <c r="F181">
        <f t="shared" si="5"/>
        <v>868.74891699743443</v>
      </c>
    </row>
    <row r="182" spans="1:6" x14ac:dyDescent="0.25">
      <c r="A182" s="1">
        <v>43466</v>
      </c>
      <c r="B182">
        <v>70.212940000000003</v>
      </c>
      <c r="C182">
        <f t="shared" si="4"/>
        <v>844.01344999999992</v>
      </c>
      <c r="D182">
        <v>170</v>
      </c>
      <c r="F182">
        <f t="shared" si="5"/>
        <v>872.53713328951676</v>
      </c>
    </row>
    <row r="183" spans="1:6" x14ac:dyDescent="0.25">
      <c r="A183" s="1">
        <v>43497</v>
      </c>
      <c r="B183">
        <v>65.99324</v>
      </c>
      <c r="C183">
        <f t="shared" si="4"/>
        <v>851.24369000000002</v>
      </c>
      <c r="D183">
        <v>171</v>
      </c>
      <c r="F183">
        <f t="shared" si="5"/>
        <v>876.32534958159908</v>
      </c>
    </row>
    <row r="184" spans="1:6" x14ac:dyDescent="0.25">
      <c r="A184" s="1">
        <v>43525</v>
      </c>
      <c r="B184">
        <v>72.126279999999994</v>
      </c>
      <c r="C184">
        <f t="shared" si="4"/>
        <v>852.66555999999991</v>
      </c>
      <c r="D184">
        <v>172</v>
      </c>
      <c r="F184">
        <f t="shared" si="5"/>
        <v>880.11356587368141</v>
      </c>
    </row>
    <row r="185" spans="1:6" x14ac:dyDescent="0.25">
      <c r="A185" s="1">
        <v>43556</v>
      </c>
      <c r="B185">
        <v>71.919240000000002</v>
      </c>
      <c r="C185">
        <f t="shared" si="4"/>
        <v>859.76423999999997</v>
      </c>
      <c r="D185">
        <v>173</v>
      </c>
      <c r="F185">
        <f t="shared" si="5"/>
        <v>883.90178216576373</v>
      </c>
    </row>
    <row r="186" spans="1:6" x14ac:dyDescent="0.25">
      <c r="A186" s="1">
        <v>43586</v>
      </c>
      <c r="B186">
        <v>72.814620000000005</v>
      </c>
      <c r="C186">
        <f t="shared" si="4"/>
        <v>866.90325999999993</v>
      </c>
      <c r="D186">
        <v>174</v>
      </c>
      <c r="F186">
        <f t="shared" si="5"/>
        <v>887.68999845784606</v>
      </c>
    </row>
    <row r="187" spans="1:6" x14ac:dyDescent="0.25">
      <c r="A187" s="1">
        <v>43617</v>
      </c>
      <c r="B187">
        <v>69.985200000000006</v>
      </c>
      <c r="C187">
        <f t="shared" si="4"/>
        <v>868.79451999999992</v>
      </c>
      <c r="D187">
        <v>175</v>
      </c>
      <c r="F187">
        <f t="shared" si="5"/>
        <v>891.47821474992838</v>
      </c>
    </row>
    <row r="188" spans="1:6" x14ac:dyDescent="0.25">
      <c r="A188" s="1">
        <v>43647</v>
      </c>
      <c r="B188">
        <v>73.081310000000002</v>
      </c>
      <c r="C188">
        <f t="shared" si="4"/>
        <v>875.52876999999989</v>
      </c>
      <c r="D188">
        <v>176</v>
      </c>
      <c r="F188">
        <f t="shared" si="5"/>
        <v>895.26643104201071</v>
      </c>
    </row>
    <row r="189" spans="1:6" x14ac:dyDescent="0.25">
      <c r="A189" s="1">
        <v>43678</v>
      </c>
      <c r="B189">
        <v>71.422619999999995</v>
      </c>
      <c r="C189">
        <f t="shared" si="4"/>
        <v>874.25503000000003</v>
      </c>
      <c r="D189">
        <v>177</v>
      </c>
      <c r="F189">
        <f t="shared" si="5"/>
        <v>899.05464733409303</v>
      </c>
    </row>
    <row r="190" spans="1:6" x14ac:dyDescent="0.25">
      <c r="A190" s="1">
        <v>43709</v>
      </c>
      <c r="B190">
        <v>67.425150000000002</v>
      </c>
      <c r="C190">
        <f t="shared" si="4"/>
        <v>873.50666000000001</v>
      </c>
      <c r="D190">
        <v>178</v>
      </c>
      <c r="F190">
        <f t="shared" si="5"/>
        <v>902.84286362617536</v>
      </c>
    </row>
    <row r="191" spans="1:6" x14ac:dyDescent="0.25">
      <c r="A191" s="1">
        <v>43739</v>
      </c>
      <c r="B191">
        <v>73.835250000000002</v>
      </c>
      <c r="C191">
        <f t="shared" si="4"/>
        <v>872.95044999999993</v>
      </c>
      <c r="D191">
        <v>179</v>
      </c>
      <c r="F191">
        <f t="shared" si="5"/>
        <v>906.63107991825768</v>
      </c>
    </row>
    <row r="192" spans="1:6" x14ac:dyDescent="0.25">
      <c r="A192" s="1">
        <v>43770</v>
      </c>
      <c r="B192">
        <v>77.78698</v>
      </c>
      <c r="C192">
        <f t="shared" si="4"/>
        <v>874.45036000000005</v>
      </c>
      <c r="D192">
        <v>180</v>
      </c>
      <c r="F192">
        <f t="shared" si="5"/>
        <v>910.41929621034024</v>
      </c>
    </row>
    <row r="193" spans="1:6" x14ac:dyDescent="0.25">
      <c r="A193" s="1">
        <v>43800</v>
      </c>
      <c r="B193">
        <v>92.776110000000003</v>
      </c>
      <c r="C193">
        <f t="shared" si="4"/>
        <v>879.37894000000006</v>
      </c>
      <c r="D193">
        <v>181</v>
      </c>
      <c r="F193">
        <f t="shared" si="5"/>
        <v>914.20751250242256</v>
      </c>
    </row>
    <row r="194" spans="1:6" x14ac:dyDescent="0.25">
      <c r="A194" s="1">
        <v>43831</v>
      </c>
      <c r="B194">
        <v>73.794430000000006</v>
      </c>
      <c r="C194">
        <f t="shared" si="4"/>
        <v>882.96042999999997</v>
      </c>
      <c r="D194">
        <v>182</v>
      </c>
      <c r="F194">
        <f t="shared" si="5"/>
        <v>917.99572879450488</v>
      </c>
    </row>
    <row r="195" spans="1:6" x14ac:dyDescent="0.25">
      <c r="A195" s="1">
        <v>43862</v>
      </c>
      <c r="B195">
        <v>68.729089999999999</v>
      </c>
      <c r="C195">
        <f t="shared" si="4"/>
        <v>885.69628</v>
      </c>
      <c r="D195">
        <v>183</v>
      </c>
      <c r="F195">
        <f t="shared" si="5"/>
        <v>921.78394508658721</v>
      </c>
    </row>
    <row r="196" spans="1:6" x14ac:dyDescent="0.25">
      <c r="A196" s="1">
        <v>43891</v>
      </c>
      <c r="B196">
        <v>65.362089999999995</v>
      </c>
      <c r="C196">
        <f t="shared" si="4"/>
        <v>878.93209000000002</v>
      </c>
      <c r="D196">
        <v>184</v>
      </c>
      <c r="F196">
        <f t="shared" si="5"/>
        <v>925.57216137866953</v>
      </c>
    </row>
    <row r="197" spans="1:6" x14ac:dyDescent="0.25">
      <c r="A197" s="1">
        <v>43922</v>
      </c>
      <c r="B197">
        <v>54.516950000000001</v>
      </c>
      <c r="C197">
        <f t="shared" si="4"/>
        <v>861.52980000000002</v>
      </c>
      <c r="D197">
        <v>185</v>
      </c>
      <c r="F197">
        <f t="shared" si="5"/>
        <v>929.36037767075186</v>
      </c>
    </row>
    <row r="198" spans="1:6" x14ac:dyDescent="0.25">
      <c r="A198" s="1">
        <v>43952</v>
      </c>
      <c r="B198">
        <v>67.259270000000001</v>
      </c>
      <c r="C198">
        <f t="shared" si="4"/>
        <v>855.97444999999993</v>
      </c>
      <c r="D198">
        <v>186</v>
      </c>
      <c r="F198">
        <f t="shared" si="5"/>
        <v>933.14859396283418</v>
      </c>
    </row>
    <row r="199" spans="1:6" x14ac:dyDescent="0.25">
      <c r="A199" s="1">
        <v>43983</v>
      </c>
      <c r="B199">
        <v>68.894859999999994</v>
      </c>
      <c r="C199">
        <f t="shared" si="4"/>
        <v>854.88410999999996</v>
      </c>
      <c r="D199">
        <v>187</v>
      </c>
      <c r="F199">
        <f t="shared" si="5"/>
        <v>936.93681025491651</v>
      </c>
    </row>
    <row r="200" spans="1:6" x14ac:dyDescent="0.25">
      <c r="A200" s="1">
        <v>44013</v>
      </c>
      <c r="B200">
        <v>71.551770000000005</v>
      </c>
      <c r="C200">
        <f t="shared" si="4"/>
        <v>853.35457000000008</v>
      </c>
      <c r="D200">
        <v>188</v>
      </c>
      <c r="F200">
        <f t="shared" si="5"/>
        <v>940.72502654699883</v>
      </c>
    </row>
    <row r="201" spans="1:6" x14ac:dyDescent="0.25">
      <c r="A201" s="1">
        <v>44044</v>
      </c>
      <c r="B201">
        <v>72.843299999999999</v>
      </c>
      <c r="C201">
        <f t="shared" si="4"/>
        <v>854.77525000000003</v>
      </c>
      <c r="D201">
        <v>189</v>
      </c>
      <c r="F201">
        <f t="shared" si="5"/>
        <v>944.51324283908116</v>
      </c>
    </row>
    <row r="202" spans="1:6" x14ac:dyDescent="0.25">
      <c r="A202" s="1">
        <v>44075</v>
      </c>
      <c r="B202">
        <v>73.734020000000001</v>
      </c>
      <c r="C202">
        <f t="shared" si="4"/>
        <v>861.08411999999998</v>
      </c>
      <c r="D202">
        <v>190</v>
      </c>
      <c r="F202">
        <f t="shared" si="5"/>
        <v>948.30145913116348</v>
      </c>
    </row>
    <row r="203" spans="1:6" x14ac:dyDescent="0.25">
      <c r="A203" s="1">
        <v>44105</v>
      </c>
      <c r="B203">
        <v>80.739189999999994</v>
      </c>
      <c r="C203">
        <f t="shared" si="4"/>
        <v>867.98806000000002</v>
      </c>
      <c r="D203">
        <v>191</v>
      </c>
      <c r="F203">
        <f t="shared" si="5"/>
        <v>952.08967542324581</v>
      </c>
    </row>
    <row r="204" spans="1:6" x14ac:dyDescent="0.25">
      <c r="A204" s="1">
        <v>44136</v>
      </c>
      <c r="B204">
        <v>80.736850000000004</v>
      </c>
      <c r="C204">
        <f t="shared" si="4"/>
        <v>870.93792999999994</v>
      </c>
      <c r="D204">
        <v>192</v>
      </c>
      <c r="F204">
        <f t="shared" si="5"/>
        <v>955.87789171532813</v>
      </c>
    </row>
    <row r="205" spans="1:6" x14ac:dyDescent="0.25">
      <c r="A205" s="1">
        <v>44166</v>
      </c>
      <c r="B205">
        <v>94.755960000000002</v>
      </c>
      <c r="C205">
        <f t="shared" si="4"/>
        <v>872.91777999999999</v>
      </c>
      <c r="D205">
        <v>193</v>
      </c>
      <c r="F205">
        <f t="shared" si="5"/>
        <v>959.66610800741046</v>
      </c>
    </row>
    <row r="206" spans="1:6" x14ac:dyDescent="0.25">
      <c r="A206" s="1">
        <v>44197</v>
      </c>
      <c r="B206">
        <v>73.052779999999998</v>
      </c>
      <c r="C206">
        <f t="shared" ref="C206:C240" si="6">SUM(B195:B206)</f>
        <v>872.17612999999994</v>
      </c>
      <c r="D206">
        <v>194</v>
      </c>
      <c r="F206">
        <f t="shared" ref="F206:F240" si="7">$I$5+$I$4*D206</f>
        <v>963.45432429949278</v>
      </c>
    </row>
    <row r="207" spans="1:6" x14ac:dyDescent="0.25">
      <c r="A207" s="1">
        <v>44228</v>
      </c>
      <c r="B207">
        <v>68.779520000000005</v>
      </c>
      <c r="C207">
        <f t="shared" si="6"/>
        <v>872.22655999999995</v>
      </c>
      <c r="D207">
        <v>195</v>
      </c>
      <c r="F207">
        <f t="shared" si="7"/>
        <v>967.24254059157511</v>
      </c>
    </row>
    <row r="208" spans="1:6" x14ac:dyDescent="0.25">
      <c r="A208" s="1">
        <v>44256</v>
      </c>
      <c r="B208">
        <v>78.639330000000001</v>
      </c>
      <c r="C208">
        <f t="shared" si="6"/>
        <v>885.50379999999996</v>
      </c>
      <c r="D208">
        <v>196</v>
      </c>
      <c r="F208">
        <f t="shared" si="7"/>
        <v>971.03075688365743</v>
      </c>
    </row>
    <row r="209" spans="1:6" x14ac:dyDescent="0.25">
      <c r="A209" s="1">
        <v>44287</v>
      </c>
      <c r="B209">
        <v>83.921000000000006</v>
      </c>
      <c r="C209">
        <f t="shared" si="6"/>
        <v>914.90785000000005</v>
      </c>
      <c r="D209">
        <v>197</v>
      </c>
      <c r="F209">
        <f t="shared" si="7"/>
        <v>974.81897317573976</v>
      </c>
    </row>
    <row r="210" spans="1:6" x14ac:dyDescent="0.25">
      <c r="A210" s="1">
        <v>44317</v>
      </c>
      <c r="B210">
        <v>90.144229999999993</v>
      </c>
      <c r="C210">
        <f t="shared" si="6"/>
        <v>937.79281000000003</v>
      </c>
      <c r="D210">
        <v>198</v>
      </c>
      <c r="F210">
        <f t="shared" si="7"/>
        <v>978.60718946782208</v>
      </c>
    </row>
    <row r="211" spans="1:6" x14ac:dyDescent="0.25">
      <c r="A211" s="1">
        <v>44348</v>
      </c>
      <c r="B211">
        <v>86.5809</v>
      </c>
      <c r="C211">
        <f t="shared" si="6"/>
        <v>955.47885000000019</v>
      </c>
      <c r="D211">
        <v>199</v>
      </c>
      <c r="F211">
        <f t="shared" si="7"/>
        <v>982.39540575990441</v>
      </c>
    </row>
    <row r="212" spans="1:6" x14ac:dyDescent="0.25">
      <c r="A212" s="1">
        <v>44378</v>
      </c>
      <c r="B212">
        <v>91.465900000000005</v>
      </c>
      <c r="C212">
        <f t="shared" si="6"/>
        <v>975.39298000000008</v>
      </c>
      <c r="D212">
        <v>200</v>
      </c>
      <c r="F212">
        <f t="shared" si="7"/>
        <v>986.18362205198673</v>
      </c>
    </row>
    <row r="213" spans="1:6" x14ac:dyDescent="0.25">
      <c r="A213" s="1">
        <v>44409</v>
      </c>
      <c r="B213">
        <v>83.882850000000005</v>
      </c>
      <c r="C213">
        <f t="shared" si="6"/>
        <v>986.43253000000004</v>
      </c>
      <c r="D213">
        <v>201</v>
      </c>
      <c r="F213">
        <f t="shared" si="7"/>
        <v>989.97183834406906</v>
      </c>
    </row>
    <row r="214" spans="1:6" x14ac:dyDescent="0.25">
      <c r="A214" s="1">
        <v>44440</v>
      </c>
      <c r="B214">
        <v>82.737530000000007</v>
      </c>
      <c r="C214">
        <f t="shared" si="6"/>
        <v>995.43604000000005</v>
      </c>
      <c r="D214">
        <v>202</v>
      </c>
      <c r="F214">
        <f t="shared" si="7"/>
        <v>993.76005463615138</v>
      </c>
    </row>
    <row r="215" spans="1:6" x14ac:dyDescent="0.25">
      <c r="A215" s="1">
        <v>44470</v>
      </c>
      <c r="B215">
        <v>91.246120000000005</v>
      </c>
      <c r="C215">
        <f t="shared" si="6"/>
        <v>1005.9429699999999</v>
      </c>
      <c r="D215">
        <v>203</v>
      </c>
      <c r="F215">
        <f t="shared" si="7"/>
        <v>997.54827092823371</v>
      </c>
    </row>
    <row r="216" spans="1:6" x14ac:dyDescent="0.25">
      <c r="A216" s="1">
        <v>44501</v>
      </c>
      <c r="B216">
        <v>93.599149999999995</v>
      </c>
      <c r="C216">
        <f t="shared" si="6"/>
        <v>1018.80527</v>
      </c>
      <c r="D216">
        <v>204</v>
      </c>
      <c r="F216">
        <f t="shared" si="7"/>
        <v>1001.336487220316</v>
      </c>
    </row>
    <row r="217" spans="1:6" x14ac:dyDescent="0.25">
      <c r="A217" s="1">
        <v>44531</v>
      </c>
      <c r="B217">
        <v>108.71769</v>
      </c>
      <c r="C217">
        <f t="shared" si="6"/>
        <v>1032.7670000000001</v>
      </c>
      <c r="D217">
        <v>205</v>
      </c>
      <c r="F217">
        <f t="shared" si="7"/>
        <v>1005.1247035123984</v>
      </c>
    </row>
    <row r="218" spans="1:6" x14ac:dyDescent="0.25">
      <c r="A218" s="1">
        <v>44562</v>
      </c>
      <c r="B218">
        <v>82.484499999999997</v>
      </c>
      <c r="C218">
        <f t="shared" si="6"/>
        <v>1042.1987200000001</v>
      </c>
      <c r="D218">
        <v>206</v>
      </c>
      <c r="F218">
        <f t="shared" si="7"/>
        <v>1008.9129198044807</v>
      </c>
    </row>
    <row r="219" spans="1:6" x14ac:dyDescent="0.25">
      <c r="A219" s="1">
        <v>44593</v>
      </c>
      <c r="B219">
        <v>79.935919999999996</v>
      </c>
      <c r="C219">
        <f t="shared" si="6"/>
        <v>1053.3551199999999</v>
      </c>
      <c r="D219">
        <v>207</v>
      </c>
      <c r="F219">
        <f t="shared" si="7"/>
        <v>1012.701136096563</v>
      </c>
    </row>
    <row r="220" spans="1:6" x14ac:dyDescent="0.25">
      <c r="A220" s="1">
        <v>44621</v>
      </c>
      <c r="B220">
        <v>99.361329999999995</v>
      </c>
      <c r="C220">
        <f t="shared" si="6"/>
        <v>1074.0771200000001</v>
      </c>
      <c r="D220">
        <v>208</v>
      </c>
      <c r="F220">
        <f t="shared" si="7"/>
        <v>1016.4893523886453</v>
      </c>
    </row>
    <row r="221" spans="1:6" x14ac:dyDescent="0.25">
      <c r="A221" s="1">
        <v>44652</v>
      </c>
      <c r="B221">
        <v>100.88092</v>
      </c>
      <c r="C221">
        <f t="shared" si="6"/>
        <v>1091.0370399999999</v>
      </c>
      <c r="D221">
        <v>209</v>
      </c>
      <c r="F221">
        <f t="shared" si="7"/>
        <v>1020.2775686807277</v>
      </c>
    </row>
    <row r="222" spans="1:6" x14ac:dyDescent="0.25">
      <c r="A222" s="1">
        <v>44682</v>
      </c>
      <c r="B222">
        <v>105.68495</v>
      </c>
      <c r="C222">
        <f t="shared" si="6"/>
        <v>1106.5777600000001</v>
      </c>
      <c r="D222">
        <v>210</v>
      </c>
      <c r="F222">
        <f t="shared" si="7"/>
        <v>1024.06578497281</v>
      </c>
    </row>
    <row r="223" spans="1:6" x14ac:dyDescent="0.25">
      <c r="A223" s="1">
        <v>44713</v>
      </c>
      <c r="B223">
        <v>102.12461</v>
      </c>
      <c r="C223">
        <f t="shared" si="6"/>
        <v>1122.1214699999998</v>
      </c>
      <c r="D223">
        <v>211</v>
      </c>
      <c r="F223">
        <f t="shared" si="7"/>
        <v>1027.8540012648923</v>
      </c>
    </row>
    <row r="224" spans="1:6" x14ac:dyDescent="0.25">
      <c r="A224" s="1">
        <v>44743</v>
      </c>
      <c r="B224">
        <v>102.48741</v>
      </c>
      <c r="C224">
        <f t="shared" si="6"/>
        <v>1133.1429799999999</v>
      </c>
      <c r="D224">
        <v>212</v>
      </c>
      <c r="F224">
        <f t="shared" si="7"/>
        <v>1031.6422175569746</v>
      </c>
    </row>
    <row r="225" spans="1:6" x14ac:dyDescent="0.25">
      <c r="A225" s="1">
        <v>44774</v>
      </c>
      <c r="B225">
        <v>101.18679</v>
      </c>
      <c r="C225">
        <f t="shared" si="6"/>
        <v>1150.4469199999999</v>
      </c>
      <c r="D225">
        <v>213</v>
      </c>
      <c r="F225">
        <f t="shared" si="7"/>
        <v>1035.430433849057</v>
      </c>
    </row>
    <row r="226" spans="1:6" x14ac:dyDescent="0.25">
      <c r="A226" s="1">
        <v>44805</v>
      </c>
      <c r="B226">
        <v>97.964380000000006</v>
      </c>
      <c r="C226">
        <f t="shared" si="6"/>
        <v>1165.6737699999999</v>
      </c>
      <c r="D226">
        <v>214</v>
      </c>
      <c r="F226">
        <f t="shared" si="7"/>
        <v>1039.2186501411395</v>
      </c>
    </row>
    <row r="227" spans="1:6" x14ac:dyDescent="0.25">
      <c r="A227" s="1">
        <v>44835</v>
      </c>
      <c r="B227">
        <v>102.71952</v>
      </c>
      <c r="C227">
        <f t="shared" si="6"/>
        <v>1177.14717</v>
      </c>
      <c r="D227">
        <v>215</v>
      </c>
      <c r="F227">
        <f t="shared" si="7"/>
        <v>1043.0068664332218</v>
      </c>
    </row>
    <row r="228" spans="1:6" x14ac:dyDescent="0.25">
      <c r="A228" s="1">
        <v>44866</v>
      </c>
      <c r="B228">
        <v>104.34372999999999</v>
      </c>
      <c r="C228">
        <f t="shared" si="6"/>
        <v>1187.89175</v>
      </c>
      <c r="D228">
        <v>216</v>
      </c>
      <c r="F228">
        <f t="shared" si="7"/>
        <v>1046.7950827253042</v>
      </c>
    </row>
    <row r="229" spans="1:6" x14ac:dyDescent="0.25">
      <c r="A229" s="1">
        <v>44896</v>
      </c>
      <c r="B229">
        <v>120.82595000000001</v>
      </c>
      <c r="C229">
        <f t="shared" si="6"/>
        <v>1200.0000099999997</v>
      </c>
      <c r="D229">
        <v>217</v>
      </c>
      <c r="F229">
        <f t="shared" si="7"/>
        <v>1050.5832990173865</v>
      </c>
    </row>
    <row r="230" spans="1:6" x14ac:dyDescent="0.25">
      <c r="A230" s="1">
        <v>44927</v>
      </c>
      <c r="B230">
        <v>96.413989999999998</v>
      </c>
      <c r="C230">
        <f t="shared" si="6"/>
        <v>1213.9295</v>
      </c>
      <c r="D230">
        <v>218</v>
      </c>
      <c r="F230">
        <f t="shared" si="7"/>
        <v>1054.3715153094688</v>
      </c>
    </row>
    <row r="231" spans="1:6" x14ac:dyDescent="0.25">
      <c r="A231" s="1">
        <v>44958</v>
      </c>
      <c r="B231">
        <v>89.649379999999994</v>
      </c>
      <c r="C231">
        <f t="shared" si="6"/>
        <v>1223.6429600000001</v>
      </c>
      <c r="D231">
        <v>219</v>
      </c>
      <c r="F231">
        <f t="shared" si="7"/>
        <v>1058.1597316015511</v>
      </c>
    </row>
    <row r="232" spans="1:6" x14ac:dyDescent="0.25">
      <c r="A232" s="1">
        <v>44986</v>
      </c>
      <c r="B232">
        <v>104.91479</v>
      </c>
      <c r="C232">
        <f t="shared" si="6"/>
        <v>1229.19642</v>
      </c>
      <c r="D232">
        <v>220</v>
      </c>
      <c r="F232">
        <f t="shared" si="7"/>
        <v>1061.9479478936335</v>
      </c>
    </row>
    <row r="233" spans="1:6" x14ac:dyDescent="0.25">
      <c r="A233" s="1">
        <v>45017</v>
      </c>
      <c r="B233">
        <v>96.525919999999999</v>
      </c>
      <c r="C233">
        <f t="shared" si="6"/>
        <v>1224.84142</v>
      </c>
      <c r="D233">
        <v>221</v>
      </c>
      <c r="F233">
        <f t="shared" si="7"/>
        <v>1065.7361641857158</v>
      </c>
    </row>
    <row r="234" spans="1:6" x14ac:dyDescent="0.25">
      <c r="A234" s="1">
        <v>45047</v>
      </c>
      <c r="B234">
        <v>101.21495</v>
      </c>
      <c r="C234">
        <f t="shared" si="6"/>
        <v>1220.3714200000002</v>
      </c>
      <c r="D234">
        <v>222</v>
      </c>
      <c r="F234">
        <f t="shared" si="7"/>
        <v>1069.5243804777981</v>
      </c>
    </row>
    <row r="235" spans="1:6" x14ac:dyDescent="0.25">
      <c r="A235" s="1">
        <v>45078</v>
      </c>
      <c r="B235">
        <v>100.39064</v>
      </c>
      <c r="C235">
        <f t="shared" si="6"/>
        <v>1218.6374500000002</v>
      </c>
      <c r="D235">
        <v>223</v>
      </c>
      <c r="F235">
        <f t="shared" si="7"/>
        <v>1073.3125967698804</v>
      </c>
    </row>
    <row r="236" spans="1:6" x14ac:dyDescent="0.25">
      <c r="A236" s="1">
        <v>45108</v>
      </c>
      <c r="B236">
        <v>103.33626</v>
      </c>
      <c r="C236">
        <f t="shared" si="6"/>
        <v>1219.4863000000003</v>
      </c>
      <c r="D236">
        <v>224</v>
      </c>
      <c r="F236">
        <f t="shared" si="7"/>
        <v>1077.1008130619628</v>
      </c>
    </row>
    <row r="237" spans="1:6" x14ac:dyDescent="0.25">
      <c r="A237" s="1">
        <v>45139</v>
      </c>
      <c r="B237">
        <v>109.11552</v>
      </c>
      <c r="C237">
        <f t="shared" si="6"/>
        <v>1227.4150300000001</v>
      </c>
      <c r="D237">
        <v>225</v>
      </c>
      <c r="F237">
        <f t="shared" si="7"/>
        <v>1080.8890293540451</v>
      </c>
    </row>
    <row r="238" spans="1:6" x14ac:dyDescent="0.25">
      <c r="A238" s="1">
        <v>45170</v>
      </c>
      <c r="B238">
        <v>100.75166</v>
      </c>
      <c r="C238">
        <f t="shared" si="6"/>
        <v>1230.2023099999999</v>
      </c>
      <c r="D238">
        <v>226</v>
      </c>
      <c r="F238">
        <f t="shared" si="7"/>
        <v>1084.6772456461274</v>
      </c>
    </row>
    <row r="239" spans="1:6" x14ac:dyDescent="0.25">
      <c r="A239" s="1">
        <v>45200</v>
      </c>
      <c r="B239">
        <v>108.10439</v>
      </c>
      <c r="C239">
        <f t="shared" si="6"/>
        <v>1235.58718</v>
      </c>
      <c r="D239">
        <v>227</v>
      </c>
      <c r="F239">
        <f t="shared" si="7"/>
        <v>1088.4654619382097</v>
      </c>
    </row>
    <row r="240" spans="1:6" x14ac:dyDescent="0.25">
      <c r="A240" s="1">
        <v>45231</v>
      </c>
      <c r="B240">
        <v>110.24612999999999</v>
      </c>
      <c r="C240">
        <f t="shared" si="6"/>
        <v>1241.4895800000002</v>
      </c>
      <c r="D240">
        <v>228</v>
      </c>
      <c r="F240">
        <f t="shared" si="7"/>
        <v>1092.2536782302921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5158-03D7-4CE5-B4B5-D3BE4DB5040C}">
  <dimension ref="A1:AS352"/>
  <sheetViews>
    <sheetView zoomScale="110" zoomScaleNormal="110" workbookViewId="0">
      <selection activeCell="D20" sqref="D20"/>
    </sheetView>
  </sheetViews>
  <sheetFormatPr defaultColWidth="9.140625" defaultRowHeight="15.75" x14ac:dyDescent="0.25"/>
  <cols>
    <col min="1" max="1" width="8.42578125" style="10" bestFit="1" customWidth="1"/>
    <col min="2" max="2" width="32.140625" style="9" bestFit="1" customWidth="1"/>
    <col min="3" max="12" width="32.140625" style="9" customWidth="1"/>
    <col min="13" max="13" width="20.7109375" style="9" customWidth="1"/>
    <col min="14" max="14" width="20.42578125" style="9" bestFit="1" customWidth="1"/>
    <col min="15" max="15" width="20.7109375" style="9" customWidth="1"/>
    <col min="16" max="17" width="15.7109375" style="9" customWidth="1"/>
    <col min="18" max="18" width="5.85546875" style="9" customWidth="1"/>
    <col min="19" max="21" width="14.85546875" style="9" customWidth="1"/>
    <col min="22" max="22" width="20" style="9" customWidth="1"/>
    <col min="23" max="23" width="5.7109375" style="9" customWidth="1"/>
    <col min="24" max="26" width="15.42578125" style="9" customWidth="1"/>
    <col min="27" max="27" width="13.140625" style="9" customWidth="1"/>
    <col min="28" max="28" width="15.42578125" style="9" customWidth="1"/>
    <col min="29" max="29" width="5.7109375" style="9" customWidth="1"/>
    <col min="30" max="30" width="17.42578125" style="9" bestFit="1" customWidth="1"/>
    <col min="31" max="31" width="15.85546875" style="9" customWidth="1"/>
    <col min="32" max="32" width="19.28515625" style="9" bestFit="1" customWidth="1"/>
    <col min="33" max="16384" width="9.140625" style="9"/>
  </cols>
  <sheetData>
    <row r="1" spans="1:45" s="7" customFormat="1" ht="30" customHeight="1" x14ac:dyDescent="0.25">
      <c r="A1" s="14"/>
      <c r="B1" s="6" t="s">
        <v>281</v>
      </c>
      <c r="C1" s="6"/>
      <c r="D1" s="6"/>
      <c r="E1" s="6"/>
      <c r="F1" s="6"/>
      <c r="G1" s="6"/>
      <c r="H1" s="6"/>
      <c r="I1" s="6"/>
      <c r="J1" s="6"/>
      <c r="K1" s="6"/>
      <c r="L1" s="6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</row>
    <row r="2" spans="1:45" s="7" customFormat="1" ht="24.95" customHeight="1" thickBot="1" x14ac:dyDescent="0.3">
      <c r="A2" s="8"/>
      <c r="B2" s="47" t="s">
        <v>280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82"/>
      <c r="N2" s="82"/>
      <c r="O2" s="82"/>
      <c r="P2" s="82"/>
      <c r="Q2" s="82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</row>
    <row r="3" spans="1:45" s="10" customFormat="1" ht="42.75" customHeight="1" thickBot="1" x14ac:dyDescent="0.3">
      <c r="A3" s="7"/>
      <c r="B3" s="83" t="s">
        <v>240</v>
      </c>
      <c r="C3" s="84" t="s">
        <v>217</v>
      </c>
      <c r="D3" s="85">
        <v>0.05</v>
      </c>
      <c r="E3" s="84" t="s">
        <v>218</v>
      </c>
      <c r="F3" s="86" t="s">
        <v>223</v>
      </c>
      <c r="G3" s="85">
        <v>0.35</v>
      </c>
      <c r="H3" s="85">
        <f>I6/B6</f>
        <v>2.5719999999999996</v>
      </c>
      <c r="I3" s="84" t="s">
        <v>224</v>
      </c>
      <c r="J3" s="87">
        <v>0.05</v>
      </c>
      <c r="K3" s="87">
        <f>(0.0137+0.014)/0.05</f>
        <v>0.55400000000000005</v>
      </c>
      <c r="L3" s="84"/>
      <c r="O3" s="86"/>
      <c r="P3" s="88"/>
      <c r="Q3" s="89"/>
      <c r="R3" s="9"/>
    </row>
    <row r="4" spans="1:45" s="10" customFormat="1" ht="16.5" thickBot="1" x14ac:dyDescent="0.3">
      <c r="A4" s="55"/>
      <c r="B4" s="112" t="s">
        <v>14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9"/>
      <c r="S4" s="114" t="s">
        <v>15</v>
      </c>
      <c r="T4" s="115"/>
      <c r="U4" s="115"/>
      <c r="V4" s="116"/>
      <c r="X4" s="117" t="s">
        <v>16</v>
      </c>
      <c r="Y4" s="117"/>
      <c r="Z4" s="117"/>
      <c r="AA4" s="117"/>
      <c r="AB4" s="117"/>
      <c r="AD4" s="117" t="s">
        <v>17</v>
      </c>
      <c r="AE4" s="117"/>
      <c r="AF4" s="117"/>
    </row>
    <row r="5" spans="1:45" s="10" customFormat="1" ht="66" x14ac:dyDescent="0.25">
      <c r="A5" s="11"/>
      <c r="B5" s="12" t="s">
        <v>219</v>
      </c>
      <c r="C5" s="12" t="s">
        <v>29</v>
      </c>
      <c r="D5" s="12" t="s">
        <v>222</v>
      </c>
      <c r="E5" s="12" t="s">
        <v>226</v>
      </c>
      <c r="F5" s="12" t="s">
        <v>228</v>
      </c>
      <c r="G5" s="12" t="s">
        <v>227</v>
      </c>
      <c r="H5" s="12" t="s">
        <v>230</v>
      </c>
      <c r="I5" s="12" t="s">
        <v>229</v>
      </c>
      <c r="J5" s="12" t="s">
        <v>92</v>
      </c>
      <c r="K5" s="12" t="s">
        <v>93</v>
      </c>
      <c r="L5" s="12" t="s">
        <v>233</v>
      </c>
      <c r="M5" s="12" t="s">
        <v>18</v>
      </c>
      <c r="N5" s="12" t="s">
        <v>19</v>
      </c>
      <c r="O5" s="12" t="s">
        <v>20</v>
      </c>
      <c r="P5" s="12" t="s">
        <v>21</v>
      </c>
      <c r="Q5" s="12" t="s">
        <v>237</v>
      </c>
      <c r="R5" s="9"/>
      <c r="S5" s="12" t="s">
        <v>247</v>
      </c>
      <c r="T5" s="12" t="s">
        <v>225</v>
      </c>
      <c r="U5" s="12" t="s">
        <v>234</v>
      </c>
      <c r="V5" s="12" t="s">
        <v>23</v>
      </c>
      <c r="X5" s="12" t="s">
        <v>22</v>
      </c>
      <c r="Y5" s="12" t="s">
        <v>225</v>
      </c>
      <c r="Z5" s="12" t="s">
        <v>234</v>
      </c>
      <c r="AA5" s="12" t="s">
        <v>248</v>
      </c>
      <c r="AB5" s="12" t="s">
        <v>23</v>
      </c>
      <c r="AD5" s="12" t="s">
        <v>26</v>
      </c>
      <c r="AE5" s="12" t="s">
        <v>27</v>
      </c>
      <c r="AF5" s="12" t="s">
        <v>28</v>
      </c>
    </row>
    <row r="6" spans="1:45" s="10" customFormat="1" x14ac:dyDescent="0.25">
      <c r="A6" s="70">
        <v>2011</v>
      </c>
      <c r="B6" s="77">
        <v>226373.41544498591</v>
      </c>
      <c r="C6" s="78">
        <v>12120.577453873901</v>
      </c>
      <c r="D6" s="78">
        <f>B6-C6</f>
        <v>214252.837991112</v>
      </c>
      <c r="E6" s="79">
        <v>5.3542406603038099E-2</v>
      </c>
      <c r="F6" s="80">
        <v>0.20608964208334649</v>
      </c>
      <c r="G6" s="81">
        <f>F6-E6</f>
        <v>0.15254723548030838</v>
      </c>
      <c r="H6" s="81"/>
      <c r="I6" s="90">
        <f>0.1286/$D$3*B6</f>
        <v>582232.42452450364</v>
      </c>
      <c r="J6" s="91">
        <v>1.2653133932054871E-2</v>
      </c>
      <c r="K6" s="91">
        <v>1.0681841775952152E-2</v>
      </c>
      <c r="L6" s="90">
        <f>K3*B6</f>
        <v>125410.87215652221</v>
      </c>
      <c r="M6" s="71">
        <v>5450</v>
      </c>
      <c r="N6" s="70"/>
      <c r="O6" s="70"/>
      <c r="P6" s="70"/>
      <c r="Q6" s="70"/>
      <c r="S6" s="52"/>
      <c r="T6" s="52"/>
      <c r="U6" s="52"/>
      <c r="V6" s="52"/>
      <c r="X6" s="52"/>
      <c r="Y6" s="52"/>
      <c r="Z6" s="52"/>
      <c r="AA6" s="52"/>
      <c r="AB6" s="52"/>
      <c r="AD6" s="61"/>
      <c r="AE6" s="61"/>
      <c r="AF6" s="61"/>
    </row>
    <row r="7" spans="1:45" s="10" customFormat="1" x14ac:dyDescent="0.25">
      <c r="A7" s="70">
        <v>2012</v>
      </c>
      <c r="B7" s="77">
        <f t="shared" ref="B7:B16" si="0">B6*(1+D20/100)</f>
        <v>220627.35180541105</v>
      </c>
      <c r="C7" s="78">
        <v>12495.15212588955</v>
      </c>
      <c r="D7" s="78">
        <f t="shared" ref="D7:D17" si="1">B7-C7</f>
        <v>208132.19967952149</v>
      </c>
      <c r="E7" s="79">
        <v>6.3258747144614158E-2</v>
      </c>
      <c r="F7" s="80">
        <v>0.207167127748839</v>
      </c>
      <c r="G7" s="81">
        <f t="shared" ref="G7:G16" si="2">F7-E7</f>
        <v>0.14390838060422484</v>
      </c>
      <c r="H7" s="78">
        <f>G7*B7</f>
        <v>31750.124915315304</v>
      </c>
      <c r="I7" s="90">
        <f>I6*(1-$D$3)+H7</f>
        <v>584870.92821359378</v>
      </c>
      <c r="J7" s="91">
        <v>1.5005636117202827E-2</v>
      </c>
      <c r="K7" s="91">
        <v>1.2462638557890227E-2</v>
      </c>
      <c r="L7" s="90">
        <f>L6*(1-$D$3)+J7*B7+K7*B7</f>
        <v>125200.58124892552</v>
      </c>
      <c r="M7" s="72">
        <v>5510.75</v>
      </c>
      <c r="N7" s="72">
        <v>281.75</v>
      </c>
      <c r="O7" s="73">
        <f>M7+N7</f>
        <v>5792.5</v>
      </c>
      <c r="P7" s="70">
        <f>M7/O7</f>
        <v>0.95135951661631424</v>
      </c>
      <c r="Q7" s="74">
        <v>0.89651693433910906</v>
      </c>
      <c r="S7" s="62">
        <f t="shared" ref="S7:S16" si="3">D7/D6-1</f>
        <v>-2.8567361669414204E-2</v>
      </c>
      <c r="T7" s="62">
        <f>I7/I6-1</f>
        <v>4.5317017362007661E-3</v>
      </c>
      <c r="U7" s="62">
        <f>L7/L6-1</f>
        <v>-1.6768156060203987E-3</v>
      </c>
      <c r="V7" s="65">
        <f>(M7/M6-1)*Q7</f>
        <v>9.9932850937799536E-3</v>
      </c>
      <c r="X7" s="65">
        <f>S7</f>
        <v>-2.8567361669414204E-2</v>
      </c>
      <c r="Y7" s="62">
        <f>T7</f>
        <v>4.5317017362007661E-3</v>
      </c>
      <c r="Z7" s="62">
        <f>U7</f>
        <v>-1.6768156060203987E-3</v>
      </c>
      <c r="AA7" s="104">
        <f>X7-Y7-AB7-Z7</f>
        <v>-4.1415532893374525E-2</v>
      </c>
      <c r="AB7" s="62">
        <f>V7</f>
        <v>9.9932850937799536E-3</v>
      </c>
      <c r="AD7" s="61"/>
      <c r="AE7" s="61"/>
      <c r="AF7" s="61"/>
    </row>
    <row r="8" spans="1:45" s="10" customFormat="1" x14ac:dyDescent="0.25">
      <c r="A8" s="70">
        <v>2013</v>
      </c>
      <c r="B8" s="77">
        <f t="shared" si="0"/>
        <v>239309.02560356676</v>
      </c>
      <c r="C8" s="78">
        <v>13241.885057724012</v>
      </c>
      <c r="D8" s="78">
        <f t="shared" si="1"/>
        <v>226067.14054584273</v>
      </c>
      <c r="E8" s="79">
        <v>5.2445372842732374E-2</v>
      </c>
      <c r="F8" s="80">
        <v>0.20911921875887982</v>
      </c>
      <c r="G8" s="81">
        <f t="shared" si="2"/>
        <v>0.15667384591614744</v>
      </c>
      <c r="H8" s="78">
        <f t="shared" ref="H8:H16" si="4">G8*B8</f>
        <v>37493.4654037566</v>
      </c>
      <c r="I8" s="90">
        <f t="shared" ref="I8:I16" si="5">I7*(1-$D$3)+H8</f>
        <v>593120.84720667067</v>
      </c>
      <c r="J8" s="91">
        <v>1.2123804559542779E-2</v>
      </c>
      <c r="K8" s="91">
        <v>1.4233325958818193E-2</v>
      </c>
      <c r="L8" s="90">
        <f t="shared" ref="L8:L16" si="6">L7*(1-$D$3)+J8*B8+K8*B8</f>
        <v>125248.05140853423</v>
      </c>
      <c r="M8" s="72">
        <v>5656.25</v>
      </c>
      <c r="N8" s="72">
        <v>292.5</v>
      </c>
      <c r="O8" s="73">
        <f t="shared" ref="O8:O17" si="7">M8+N8</f>
        <v>5948.75</v>
      </c>
      <c r="P8" s="70">
        <f t="shared" ref="P8:P17" si="8">M8/O8</f>
        <v>0.9508300063038454</v>
      </c>
      <c r="Q8" s="74">
        <v>0.92337682475688365</v>
      </c>
      <c r="S8" s="62">
        <f t="shared" si="3"/>
        <v>8.6170909133412188E-2</v>
      </c>
      <c r="T8" s="62">
        <f t="shared" ref="T8:T16" si="9">I8/I7-1</f>
        <v>1.4105537812035163E-2</v>
      </c>
      <c r="U8" s="62">
        <f t="shared" ref="U8:U16" si="10">L8/L7-1</f>
        <v>3.7915286922141078E-4</v>
      </c>
      <c r="V8" s="65">
        <f>(M8/M7-1)*Q8</f>
        <v>2.4379862632514002E-2</v>
      </c>
      <c r="X8" s="65">
        <f t="shared" ref="X8:X17" si="11">S8</f>
        <v>8.6170909133412188E-2</v>
      </c>
      <c r="Y8" s="62">
        <f t="shared" ref="Y8:Y16" si="12">T8</f>
        <v>1.4105537812035163E-2</v>
      </c>
      <c r="Z8" s="62">
        <f t="shared" ref="Z8:Z16" si="13">U8</f>
        <v>3.7915286922141078E-4</v>
      </c>
      <c r="AA8" s="104">
        <f t="shared" ref="AA8:AA16" si="14">X8-Y8-AB8-Z8</f>
        <v>4.7306355819641613E-2</v>
      </c>
      <c r="AB8" s="62">
        <f t="shared" ref="AB8:AB17" si="15">V8</f>
        <v>2.4379862632514002E-2</v>
      </c>
      <c r="AD8" s="61"/>
      <c r="AE8" s="61"/>
      <c r="AF8" s="61"/>
    </row>
    <row r="9" spans="1:45" s="10" customFormat="1" x14ac:dyDescent="0.25">
      <c r="A9" s="70">
        <v>2014</v>
      </c>
      <c r="B9" s="77">
        <f t="shared" si="0"/>
        <v>238293.29840640226</v>
      </c>
      <c r="C9" s="78">
        <v>13045.31408495896</v>
      </c>
      <c r="D9" s="78">
        <f t="shared" si="1"/>
        <v>225247.98432144331</v>
      </c>
      <c r="E9" s="79">
        <v>5.1204672789707119E-2</v>
      </c>
      <c r="F9" s="80">
        <v>0.1987302890333249</v>
      </c>
      <c r="G9" s="81">
        <f t="shared" si="2"/>
        <v>0.14752561624361779</v>
      </c>
      <c r="H9" s="78">
        <f t="shared" si="4"/>
        <v>35154.365694128799</v>
      </c>
      <c r="I9" s="90">
        <f t="shared" si="5"/>
        <v>598619.17054046586</v>
      </c>
      <c r="J9" s="91">
        <v>1.4234396829988082E-2</v>
      </c>
      <c r="K9" s="91">
        <v>1.6797373812770904E-2</v>
      </c>
      <c r="L9" s="90">
        <f t="shared" si="6"/>
        <v>126380.31181996151</v>
      </c>
      <c r="M9" s="72">
        <v>5630</v>
      </c>
      <c r="N9" s="72">
        <v>302.5</v>
      </c>
      <c r="O9" s="73">
        <f t="shared" si="7"/>
        <v>5932.5</v>
      </c>
      <c r="P9" s="70">
        <f t="shared" si="8"/>
        <v>0.94900969237252419</v>
      </c>
      <c r="Q9" s="74">
        <v>1.036269649591119</v>
      </c>
      <c r="S9" s="62">
        <f t="shared" si="3"/>
        <v>-3.6235085843150383E-3</v>
      </c>
      <c r="T9" s="62">
        <f t="shared" si="9"/>
        <v>9.2701569329247668E-3</v>
      </c>
      <c r="U9" s="62">
        <f t="shared" si="10"/>
        <v>9.0401439279408358E-3</v>
      </c>
      <c r="V9" s="65">
        <f>(M9/M8-1)*Q9</f>
        <v>-4.8092072135720136E-3</v>
      </c>
      <c r="X9" s="65">
        <f t="shared" si="11"/>
        <v>-3.6235085843150383E-3</v>
      </c>
      <c r="Y9" s="62">
        <f t="shared" si="12"/>
        <v>9.2701569329247668E-3</v>
      </c>
      <c r="Z9" s="62">
        <f t="shared" si="13"/>
        <v>9.0401439279408358E-3</v>
      </c>
      <c r="AA9" s="104">
        <f t="shared" si="14"/>
        <v>-1.7124602231608627E-2</v>
      </c>
      <c r="AB9" s="62">
        <f t="shared" si="15"/>
        <v>-4.8092072135720136E-3</v>
      </c>
      <c r="AD9" s="61"/>
      <c r="AE9" s="61"/>
      <c r="AF9" s="61"/>
    </row>
    <row r="10" spans="1:45" x14ac:dyDescent="0.25">
      <c r="A10" s="70">
        <v>2015</v>
      </c>
      <c r="B10" s="77">
        <f t="shared" si="0"/>
        <v>228449.78463832522</v>
      </c>
      <c r="C10" s="78">
        <v>12129.50665750346</v>
      </c>
      <c r="D10" s="78">
        <f t="shared" si="1"/>
        <v>216320.27798082176</v>
      </c>
      <c r="E10" s="79">
        <v>4.7771569699236897E-2</v>
      </c>
      <c r="F10" s="80">
        <v>0.17835807042511681</v>
      </c>
      <c r="G10" s="81">
        <f t="shared" si="2"/>
        <v>0.13058650072587991</v>
      </c>
      <c r="H10" s="78">
        <f t="shared" si="4"/>
        <v>29832.457967499766</v>
      </c>
      <c r="I10" s="90">
        <f t="shared" si="5"/>
        <v>598520.66998094227</v>
      </c>
      <c r="J10" s="91">
        <v>1.0733026001934402E-2</v>
      </c>
      <c r="K10" s="91">
        <v>1.1915471273007069E-2</v>
      </c>
      <c r="L10" s="90">
        <f t="shared" si="6"/>
        <v>125235.34055380551</v>
      </c>
      <c r="M10" s="72">
        <v>5645.75</v>
      </c>
      <c r="N10" s="72">
        <v>385</v>
      </c>
      <c r="O10" s="73">
        <f t="shared" si="7"/>
        <v>6030.75</v>
      </c>
      <c r="P10" s="70">
        <f t="shared" si="8"/>
        <v>0.93616051071591422</v>
      </c>
      <c r="Q10" s="74">
        <v>0.84853726085249526</v>
      </c>
      <c r="R10" s="48"/>
      <c r="S10" s="62">
        <f t="shared" si="3"/>
        <v>-3.9635011019149125E-2</v>
      </c>
      <c r="T10" s="62">
        <f t="shared" si="9"/>
        <v>-1.6454628313133934E-4</v>
      </c>
      <c r="U10" s="62">
        <f t="shared" si="10"/>
        <v>-9.0597281306530331E-3</v>
      </c>
      <c r="V10" s="65">
        <f t="shared" ref="V10:V17" si="16">(M10/M9-1)*Q10</f>
        <v>2.3737942910171178E-3</v>
      </c>
      <c r="W10" s="48"/>
      <c r="X10" s="65">
        <f t="shared" si="11"/>
        <v>-3.9635011019149125E-2</v>
      </c>
      <c r="Y10" s="62">
        <f t="shared" si="12"/>
        <v>-1.6454628313133934E-4</v>
      </c>
      <c r="Z10" s="62">
        <f t="shared" si="13"/>
        <v>-9.0597281306530331E-3</v>
      </c>
      <c r="AA10" s="104">
        <f t="shared" si="14"/>
        <v>-3.2784530896381871E-2</v>
      </c>
      <c r="AB10" s="62">
        <f t="shared" si="15"/>
        <v>2.3737942910171178E-3</v>
      </c>
      <c r="AC10" s="48"/>
      <c r="AD10" s="48"/>
      <c r="AE10" s="50"/>
      <c r="AF10" s="51"/>
      <c r="AG10" s="48"/>
    </row>
    <row r="11" spans="1:45" x14ac:dyDescent="0.25">
      <c r="A11" s="70">
        <v>2016</v>
      </c>
      <c r="B11" s="77">
        <f t="shared" si="0"/>
        <v>223824.1427883303</v>
      </c>
      <c r="C11" s="78">
        <v>11438.720597532369</v>
      </c>
      <c r="D11" s="78">
        <f t="shared" si="1"/>
        <v>212385.42219079792</v>
      </c>
      <c r="E11" s="79">
        <v>4.7421590838152686E-2</v>
      </c>
      <c r="F11" s="80">
        <v>0.15524327328224014</v>
      </c>
      <c r="G11" s="81">
        <f t="shared" si="2"/>
        <v>0.10782168244408745</v>
      </c>
      <c r="H11" s="78">
        <f t="shared" si="4"/>
        <v>24133.095647043436</v>
      </c>
      <c r="I11" s="90">
        <f t="shared" si="5"/>
        <v>592727.73212893854</v>
      </c>
      <c r="J11" s="91">
        <v>1.1131443821454239E-2</v>
      </c>
      <c r="K11" s="91">
        <v>1.5227132410425812E-2</v>
      </c>
      <c r="L11" s="90">
        <f t="shared" si="6"/>
        <v>124873.25925633665</v>
      </c>
      <c r="M11" s="72">
        <v>5602.5</v>
      </c>
      <c r="N11" s="72">
        <v>508.75</v>
      </c>
      <c r="O11" s="73">
        <f t="shared" si="7"/>
        <v>6111.25</v>
      </c>
      <c r="P11" s="70">
        <f t="shared" si="8"/>
        <v>0.91675189200245444</v>
      </c>
      <c r="Q11" s="74">
        <v>0.80748023401431746</v>
      </c>
      <c r="R11" s="48"/>
      <c r="S11" s="62">
        <f t="shared" si="3"/>
        <v>-1.8189953465077791E-2</v>
      </c>
      <c r="T11" s="62">
        <f t="shared" si="9"/>
        <v>-9.678759886752375E-3</v>
      </c>
      <c r="U11" s="62">
        <f t="shared" si="10"/>
        <v>-2.8912070336352125E-3</v>
      </c>
      <c r="V11" s="65">
        <f t="shared" si="16"/>
        <v>-6.1858070444350795E-3</v>
      </c>
      <c r="W11" s="48"/>
      <c r="X11" s="65">
        <f t="shared" si="11"/>
        <v>-1.8189953465077791E-2</v>
      </c>
      <c r="Y11" s="62">
        <f t="shared" si="12"/>
        <v>-9.678759886752375E-3</v>
      </c>
      <c r="Z11" s="62">
        <f t="shared" si="13"/>
        <v>-2.8912070336352125E-3</v>
      </c>
      <c r="AA11" s="104">
        <f t="shared" si="14"/>
        <v>5.6582049974487642E-4</v>
      </c>
      <c r="AB11" s="62">
        <f t="shared" si="15"/>
        <v>-6.1858070444350795E-3</v>
      </c>
      <c r="AC11" s="48"/>
      <c r="AD11" s="48"/>
      <c r="AE11" s="50"/>
      <c r="AF11" s="51"/>
      <c r="AG11" s="48"/>
    </row>
    <row r="12" spans="1:45" x14ac:dyDescent="0.25">
      <c r="A12" s="70">
        <v>2017</v>
      </c>
      <c r="B12" s="77">
        <f t="shared" si="0"/>
        <v>227886.62318121409</v>
      </c>
      <c r="C12" s="78">
        <v>10774.238218059274</v>
      </c>
      <c r="D12" s="78">
        <f t="shared" si="1"/>
        <v>217112.38496315482</v>
      </c>
      <c r="E12" s="79">
        <v>4.0787195349907802E-2</v>
      </c>
      <c r="F12" s="80">
        <v>0.14558986521709355</v>
      </c>
      <c r="G12" s="81">
        <f t="shared" si="2"/>
        <v>0.10480266986718575</v>
      </c>
      <c r="H12" s="78">
        <f t="shared" si="4"/>
        <v>23883.126536408541</v>
      </c>
      <c r="I12" s="90">
        <f t="shared" si="5"/>
        <v>586974.47205890017</v>
      </c>
      <c r="J12" s="91">
        <v>9.8838030034842737E-3</v>
      </c>
      <c r="K12" s="91">
        <v>1.1189452568022739E-2</v>
      </c>
      <c r="L12" s="90">
        <f t="shared" si="6"/>
        <v>123431.90934514524</v>
      </c>
      <c r="M12" s="72">
        <v>5609.75</v>
      </c>
      <c r="N12" s="72">
        <v>522.75</v>
      </c>
      <c r="O12" s="73">
        <f t="shared" si="7"/>
        <v>6132.5</v>
      </c>
      <c r="P12" s="70">
        <f t="shared" si="8"/>
        <v>0.9147574398695475</v>
      </c>
      <c r="Q12" s="74">
        <v>0.62433478471214321</v>
      </c>
      <c r="R12" s="48"/>
      <c r="S12" s="62">
        <f t="shared" si="3"/>
        <v>2.2256531185602668E-2</v>
      </c>
      <c r="T12" s="62">
        <f t="shared" si="9"/>
        <v>-9.7064128404689143E-3</v>
      </c>
      <c r="U12" s="62">
        <f t="shared" si="10"/>
        <v>-1.154250253236877E-2</v>
      </c>
      <c r="V12" s="65">
        <f t="shared" si="16"/>
        <v>8.0792988650834285E-4</v>
      </c>
      <c r="W12" s="48"/>
      <c r="X12" s="65">
        <f t="shared" si="11"/>
        <v>2.2256531185602668E-2</v>
      </c>
      <c r="Y12" s="62">
        <f t="shared" si="12"/>
        <v>-9.7064128404689143E-3</v>
      </c>
      <c r="Z12" s="62">
        <f t="shared" si="13"/>
        <v>-1.154250253236877E-2</v>
      </c>
      <c r="AA12" s="104">
        <f t="shared" si="14"/>
        <v>4.2697516671932015E-2</v>
      </c>
      <c r="AB12" s="62">
        <f t="shared" si="15"/>
        <v>8.0792988650834285E-4</v>
      </c>
      <c r="AC12" s="48"/>
      <c r="AD12" s="48" t="e">
        <f>#REF!/#REF!</f>
        <v>#REF!</v>
      </c>
      <c r="AE12" s="50" t="e">
        <f>#REF!</f>
        <v>#REF!</v>
      </c>
      <c r="AF12" s="51" t="e">
        <f t="shared" ref="AF12:AF17" si="17">AD12-AE12</f>
        <v>#REF!</v>
      </c>
      <c r="AG12" s="48"/>
    </row>
    <row r="13" spans="1:45" x14ac:dyDescent="0.25">
      <c r="A13" s="70">
        <v>2018</v>
      </c>
      <c r="B13" s="77">
        <f t="shared" si="0"/>
        <v>231862.29830342086</v>
      </c>
      <c r="C13" s="78">
        <v>10500.500627506304</v>
      </c>
      <c r="D13" s="78">
        <f t="shared" si="1"/>
        <v>221361.79767591457</v>
      </c>
      <c r="E13" s="79">
        <v>3.8187597168308517E-2</v>
      </c>
      <c r="F13" s="80">
        <v>0.15096911955370401</v>
      </c>
      <c r="G13" s="81">
        <f t="shared" si="2"/>
        <v>0.11278152238539549</v>
      </c>
      <c r="H13" s="78">
        <f t="shared" si="4"/>
        <v>26149.782986436505</v>
      </c>
      <c r="I13" s="90">
        <f t="shared" si="5"/>
        <v>583775.53144239169</v>
      </c>
      <c r="J13" s="91">
        <v>1.3462628846392209E-2</v>
      </c>
      <c r="K13" s="91">
        <v>1.2240793137838785E-2</v>
      </c>
      <c r="L13" s="90">
        <f t="shared" si="6"/>
        <v>123219.96837341443</v>
      </c>
      <c r="M13" s="72">
        <v>5558.25</v>
      </c>
      <c r="N13" s="72">
        <v>496</v>
      </c>
      <c r="O13" s="73">
        <f t="shared" si="7"/>
        <v>6054.25</v>
      </c>
      <c r="P13" s="70">
        <f t="shared" si="8"/>
        <v>0.91807408019160097</v>
      </c>
      <c r="Q13" s="74">
        <v>0.93096387304373263</v>
      </c>
      <c r="R13" s="48"/>
      <c r="S13" s="62">
        <f t="shared" si="3"/>
        <v>1.9572410452222133E-2</v>
      </c>
      <c r="T13" s="62">
        <f t="shared" si="9"/>
        <v>-5.449880307890953E-3</v>
      </c>
      <c r="U13" s="62">
        <f t="shared" si="10"/>
        <v>-1.717067919108084E-3</v>
      </c>
      <c r="V13" s="65">
        <f t="shared" si="16"/>
        <v>-8.5466624112932772E-3</v>
      </c>
      <c r="W13" s="48"/>
      <c r="X13" s="65">
        <f t="shared" si="11"/>
        <v>1.9572410452222133E-2</v>
      </c>
      <c r="Y13" s="62">
        <f t="shared" si="12"/>
        <v>-5.449880307890953E-3</v>
      </c>
      <c r="Z13" s="62">
        <f t="shared" si="13"/>
        <v>-1.717067919108084E-3</v>
      </c>
      <c r="AA13" s="104">
        <f t="shared" si="14"/>
        <v>3.5286021090514444E-2</v>
      </c>
      <c r="AB13" s="62">
        <f t="shared" si="15"/>
        <v>-8.5466624112932772E-3</v>
      </c>
      <c r="AC13" s="48"/>
      <c r="AD13" s="48" t="e">
        <f>#REF!/#REF!</f>
        <v>#REF!</v>
      </c>
      <c r="AE13" s="50" t="e">
        <f>#REF!</f>
        <v>#REF!</v>
      </c>
      <c r="AF13" s="51" t="e">
        <f t="shared" si="17"/>
        <v>#REF!</v>
      </c>
      <c r="AG13" s="48"/>
    </row>
    <row r="14" spans="1:45" x14ac:dyDescent="0.25">
      <c r="A14" s="70">
        <v>2019</v>
      </c>
      <c r="B14" s="77">
        <f t="shared" si="0"/>
        <v>233802.14535962991</v>
      </c>
      <c r="C14" s="78">
        <v>10411.419831289058</v>
      </c>
      <c r="D14" s="78">
        <f t="shared" si="1"/>
        <v>223390.72552834084</v>
      </c>
      <c r="E14" s="79">
        <v>4.1210209182974328E-2</v>
      </c>
      <c r="F14" s="80">
        <v>0.15471169749189723</v>
      </c>
      <c r="G14" s="81">
        <f t="shared" si="2"/>
        <v>0.1135014883089229</v>
      </c>
      <c r="H14" s="78">
        <f t="shared" si="4"/>
        <v>26536.891468137128</v>
      </c>
      <c r="I14" s="90">
        <f t="shared" si="5"/>
        <v>581123.64633840928</v>
      </c>
      <c r="J14" s="91">
        <v>1.2076849937195523E-2</v>
      </c>
      <c r="K14" s="91">
        <v>1.3125572054665987E-2</v>
      </c>
      <c r="L14" s="90">
        <f t="shared" si="6"/>
        <v>122951.35028469964</v>
      </c>
      <c r="M14" s="72">
        <v>5714.5</v>
      </c>
      <c r="N14" s="72">
        <v>505.25</v>
      </c>
      <c r="O14" s="73">
        <f t="shared" si="7"/>
        <v>6219.75</v>
      </c>
      <c r="P14" s="70">
        <f t="shared" si="8"/>
        <v>0.91876683146428717</v>
      </c>
      <c r="Q14" s="74">
        <v>1.175266816802115</v>
      </c>
      <c r="R14" s="48"/>
      <c r="S14" s="62">
        <f t="shared" si="3"/>
        <v>9.1656639660866457E-3</v>
      </c>
      <c r="T14" s="62">
        <f t="shared" si="9"/>
        <v>-4.5426451797836442E-3</v>
      </c>
      <c r="U14" s="62">
        <f t="shared" si="10"/>
        <v>-2.1799882945980897E-3</v>
      </c>
      <c r="V14" s="65">
        <f t="shared" si="16"/>
        <v>3.3038355620083767E-2</v>
      </c>
      <c r="W14" s="48"/>
      <c r="X14" s="65">
        <f t="shared" si="11"/>
        <v>9.1656639660866457E-3</v>
      </c>
      <c r="Y14" s="62">
        <f t="shared" si="12"/>
        <v>-4.5426451797836442E-3</v>
      </c>
      <c r="Z14" s="62">
        <f t="shared" si="13"/>
        <v>-2.1799882945980897E-3</v>
      </c>
      <c r="AA14" s="104">
        <f t="shared" si="14"/>
        <v>-1.7150058179615388E-2</v>
      </c>
      <c r="AB14" s="62">
        <f t="shared" si="15"/>
        <v>3.3038355620083767E-2</v>
      </c>
      <c r="AC14" s="48"/>
      <c r="AD14" s="48" t="e">
        <f>#REF!/#REF!</f>
        <v>#REF!</v>
      </c>
      <c r="AE14" s="50" t="e">
        <f>#REF!</f>
        <v>#REF!</v>
      </c>
      <c r="AF14" s="51" t="e">
        <f t="shared" si="17"/>
        <v>#REF!</v>
      </c>
      <c r="AG14" s="48"/>
    </row>
    <row r="15" spans="1:45" x14ac:dyDescent="0.25">
      <c r="A15" s="70">
        <v>2020</v>
      </c>
      <c r="B15" s="77">
        <f t="shared" si="0"/>
        <v>216618.70518459153</v>
      </c>
      <c r="C15" s="78">
        <v>9888.4283680825429</v>
      </c>
      <c r="D15" s="78">
        <f t="shared" si="1"/>
        <v>206730.27681650899</v>
      </c>
      <c r="E15" s="79">
        <v>4.0463992457700035E-2</v>
      </c>
      <c r="F15" s="80">
        <v>0.1656102156263991</v>
      </c>
      <c r="G15" s="81">
        <f t="shared" si="2"/>
        <v>0.12514622316869906</v>
      </c>
      <c r="H15" s="78">
        <f t="shared" si="4"/>
        <v>27109.012821545519</v>
      </c>
      <c r="I15" s="90">
        <f t="shared" si="5"/>
        <v>579176.47684303427</v>
      </c>
      <c r="J15" s="91">
        <v>1.6643835821720153E-2</v>
      </c>
      <c r="K15" s="91">
        <v>2.6186214380858629E-2</v>
      </c>
      <c r="L15" s="90">
        <f t="shared" si="6"/>
        <v>126081.57278833831</v>
      </c>
      <c r="M15" s="72">
        <v>5344.75</v>
      </c>
      <c r="N15" s="72">
        <v>549.75</v>
      </c>
      <c r="O15" s="73">
        <f t="shared" si="7"/>
        <v>5894.5</v>
      </c>
      <c r="P15" s="70">
        <f t="shared" si="8"/>
        <v>0.90673509203494784</v>
      </c>
      <c r="Q15" s="74">
        <v>0.98320503848845342</v>
      </c>
      <c r="R15" s="48"/>
      <c r="S15" s="62">
        <f t="shared" si="3"/>
        <v>-7.4579858552445533E-2</v>
      </c>
      <c r="T15" s="62">
        <f t="shared" si="9"/>
        <v>-3.3506974077615048E-3</v>
      </c>
      <c r="U15" s="62">
        <f t="shared" si="10"/>
        <v>2.5459033157346322E-2</v>
      </c>
      <c r="V15" s="65">
        <f t="shared" si="16"/>
        <v>-6.3617125379491754E-2</v>
      </c>
      <c r="W15" s="48"/>
      <c r="X15" s="65">
        <f t="shared" si="11"/>
        <v>-7.4579858552445533E-2</v>
      </c>
      <c r="Y15" s="62">
        <f t="shared" si="12"/>
        <v>-3.3506974077615048E-3</v>
      </c>
      <c r="Z15" s="62">
        <f t="shared" si="13"/>
        <v>2.5459033157346322E-2</v>
      </c>
      <c r="AA15" s="104">
        <f t="shared" si="14"/>
        <v>-3.3071068922538596E-2</v>
      </c>
      <c r="AB15" s="62">
        <f t="shared" si="15"/>
        <v>-6.3617125379491754E-2</v>
      </c>
      <c r="AC15" s="48"/>
      <c r="AD15" s="48" t="e">
        <f>#REF!/#REF!</f>
        <v>#REF!</v>
      </c>
      <c r="AE15" s="50" t="e">
        <f>#REF!</f>
        <v>#REF!</v>
      </c>
      <c r="AF15" s="51" t="e">
        <f t="shared" si="17"/>
        <v>#REF!</v>
      </c>
      <c r="AG15" s="48"/>
    </row>
    <row r="16" spans="1:45" x14ac:dyDescent="0.25">
      <c r="A16" s="70">
        <v>2021</v>
      </c>
      <c r="B16" s="77">
        <f t="shared" si="0"/>
        <v>237239.89298021235</v>
      </c>
      <c r="C16" s="78">
        <v>10833.310129236994</v>
      </c>
      <c r="D16" s="78">
        <f t="shared" si="1"/>
        <v>226406.58285097536</v>
      </c>
      <c r="E16" s="79">
        <v>3.5541588947930171E-2</v>
      </c>
      <c r="F16" s="80">
        <v>0.17914032541600006</v>
      </c>
      <c r="G16" s="81">
        <f t="shared" si="2"/>
        <v>0.14359873646806989</v>
      </c>
      <c r="H16" s="78">
        <f t="shared" si="4"/>
        <v>34067.348871778617</v>
      </c>
      <c r="I16" s="90">
        <f t="shared" si="5"/>
        <v>584285.00187266106</v>
      </c>
      <c r="J16" s="91">
        <v>1.9637732648546475E-2</v>
      </c>
      <c r="K16" s="91">
        <v>1.218913872845806E-2</v>
      </c>
      <c r="L16" s="90">
        <f t="shared" si="6"/>
        <v>127328.09770829692</v>
      </c>
      <c r="M16" s="72">
        <v>5523.75</v>
      </c>
      <c r="N16" s="72">
        <v>527.75</v>
      </c>
      <c r="O16" s="73">
        <f t="shared" si="7"/>
        <v>6051.5</v>
      </c>
      <c r="P16" s="70">
        <f t="shared" si="8"/>
        <v>0.91279021730149545</v>
      </c>
      <c r="Q16" s="74">
        <v>0.96365159244927767</v>
      </c>
      <c r="R16" s="48"/>
      <c r="S16" s="62">
        <f t="shared" si="3"/>
        <v>9.5178637292353541E-2</v>
      </c>
      <c r="T16" s="62">
        <f t="shared" si="9"/>
        <v>8.8203254687970745E-3</v>
      </c>
      <c r="U16" s="62">
        <f t="shared" si="10"/>
        <v>9.8866542698610171E-3</v>
      </c>
      <c r="V16" s="65">
        <f t="shared" si="16"/>
        <v>3.227347117235066E-2</v>
      </c>
      <c r="W16" s="48"/>
      <c r="X16" s="65">
        <f t="shared" si="11"/>
        <v>9.5178637292353541E-2</v>
      </c>
      <c r="Y16" s="62">
        <f t="shared" si="12"/>
        <v>8.8203254687970745E-3</v>
      </c>
      <c r="Z16" s="62">
        <f t="shared" si="13"/>
        <v>9.8866542698610171E-3</v>
      </c>
      <c r="AA16" s="104">
        <f t="shared" si="14"/>
        <v>4.4198186381344789E-2</v>
      </c>
      <c r="AB16" s="62">
        <f t="shared" si="15"/>
        <v>3.227347117235066E-2</v>
      </c>
      <c r="AC16" s="48"/>
      <c r="AD16" s="48" t="e">
        <f>#REF!/#REF!</f>
        <v>#REF!</v>
      </c>
      <c r="AE16" s="50" t="e">
        <f>#REF!</f>
        <v>#REF!</v>
      </c>
      <c r="AF16" s="51" t="e">
        <f t="shared" si="17"/>
        <v>#REF!</v>
      </c>
      <c r="AG16" s="48"/>
    </row>
    <row r="17" spans="1:33" x14ac:dyDescent="0.25">
      <c r="A17" s="70">
        <v>2022</v>
      </c>
      <c r="B17" s="106">
        <f>B16*(1-0.052)</f>
        <v>224903.41854524129</v>
      </c>
      <c r="C17" s="107">
        <f>C16*1.058</f>
        <v>11461.642116732741</v>
      </c>
      <c r="D17" s="108">
        <f t="shared" si="1"/>
        <v>213441.77642850854</v>
      </c>
      <c r="E17" s="78"/>
      <c r="F17" s="78"/>
      <c r="G17" s="78"/>
      <c r="H17" s="78"/>
      <c r="I17" s="90"/>
      <c r="J17" s="90"/>
      <c r="K17" s="90"/>
      <c r="L17" s="90"/>
      <c r="M17" s="72">
        <v>5842.75</v>
      </c>
      <c r="N17" s="72">
        <v>378.75</v>
      </c>
      <c r="O17" s="73">
        <f t="shared" si="7"/>
        <v>6221.5</v>
      </c>
      <c r="P17" s="70">
        <f t="shared" si="8"/>
        <v>0.93912239813549792</v>
      </c>
      <c r="Q17" s="74">
        <v>0.93174792152311592</v>
      </c>
      <c r="R17" s="48"/>
      <c r="S17" s="62"/>
      <c r="T17" s="62"/>
      <c r="U17" s="62"/>
      <c r="V17" s="65">
        <f t="shared" si="16"/>
        <v>5.3809022306562364E-2</v>
      </c>
      <c r="W17" s="48"/>
      <c r="X17" s="52">
        <f t="shared" si="11"/>
        <v>0</v>
      </c>
      <c r="Y17" s="52"/>
      <c r="Z17" s="52"/>
      <c r="AA17" s="52"/>
      <c r="AB17" s="64">
        <f t="shared" si="15"/>
        <v>5.3809022306562364E-2</v>
      </c>
      <c r="AC17" s="48"/>
      <c r="AD17" s="48" t="e">
        <f>#REF!/#REF!</f>
        <v>#REF!</v>
      </c>
      <c r="AE17" s="50" t="e">
        <f>#REF!</f>
        <v>#REF!</v>
      </c>
      <c r="AF17" s="51" t="e">
        <f t="shared" si="17"/>
        <v>#REF!</v>
      </c>
      <c r="AG17" s="48"/>
    </row>
    <row r="18" spans="1:33" x14ac:dyDescent="0.25">
      <c r="A18" s="9" t="s">
        <v>53</v>
      </c>
      <c r="B18" s="9" t="s">
        <v>220</v>
      </c>
      <c r="C18" s="67"/>
    </row>
    <row r="19" spans="1:33" x14ac:dyDescent="0.25">
      <c r="A19" s="95">
        <v>2011</v>
      </c>
      <c r="B19" s="96">
        <v>100</v>
      </c>
      <c r="D19" s="9" t="s">
        <v>285</v>
      </c>
    </row>
    <row r="20" spans="1:33" x14ac:dyDescent="0.25">
      <c r="A20" s="95">
        <v>2012</v>
      </c>
      <c r="B20" s="96">
        <f>B19*(1+AA7)</f>
        <v>95.858446710662548</v>
      </c>
      <c r="D20" s="93">
        <v>-2.538312031154244</v>
      </c>
      <c r="E20" s="94"/>
      <c r="F20" s="76"/>
      <c r="G20" s="76"/>
      <c r="H20" s="76"/>
      <c r="I20" s="76"/>
      <c r="J20" s="76"/>
      <c r="K20" s="76"/>
      <c r="L20" s="76"/>
    </row>
    <row r="21" spans="1:33" x14ac:dyDescent="0.25">
      <c r="A21" s="95">
        <v>2013</v>
      </c>
      <c r="B21" s="96">
        <f t="shared" ref="B21:B29" si="18">B20*(1+AA8)</f>
        <v>100.39316049907531</v>
      </c>
      <c r="D21" s="93">
        <v>8.4675239245189271</v>
      </c>
      <c r="E21" s="76"/>
      <c r="F21" s="76"/>
      <c r="G21" s="76"/>
      <c r="H21" s="76"/>
      <c r="I21" s="76"/>
      <c r="J21" s="76"/>
      <c r="K21" s="76"/>
      <c r="L21" s="76"/>
    </row>
    <row r="22" spans="1:33" x14ac:dyDescent="0.25">
      <c r="A22" s="95">
        <v>2014</v>
      </c>
      <c r="B22" s="96">
        <f t="shared" si="18"/>
        <v>98.673967558754597</v>
      </c>
      <c r="D22" s="93">
        <v>-0.42444165848016802</v>
      </c>
      <c r="E22" s="76"/>
      <c r="F22" s="76"/>
      <c r="G22" s="76"/>
      <c r="H22" s="76"/>
      <c r="I22" s="76"/>
      <c r="J22" s="76"/>
      <c r="K22" s="76"/>
      <c r="L22" s="76"/>
    </row>
    <row r="23" spans="1:33" x14ac:dyDescent="0.25">
      <c r="A23" s="95">
        <v>2015</v>
      </c>
      <c r="B23" s="96">
        <f t="shared" si="18"/>
        <v>95.438987820656024</v>
      </c>
      <c r="D23" s="93">
        <v>-4.130839530069041</v>
      </c>
      <c r="E23" s="76"/>
      <c r="F23" s="76"/>
      <c r="G23" s="76"/>
      <c r="H23" s="76"/>
      <c r="I23" s="76"/>
      <c r="J23" s="76"/>
      <c r="K23" s="76"/>
      <c r="L23" s="76"/>
    </row>
    <row r="24" spans="1:33" x14ac:dyDescent="0.25">
      <c r="A24" s="95">
        <v>2016</v>
      </c>
      <c r="B24" s="96">
        <f t="shared" si="18"/>
        <v>95.492989156439862</v>
      </c>
      <c r="D24" s="93">
        <v>-2.0247958899668461</v>
      </c>
      <c r="E24" s="76"/>
      <c r="F24" s="76"/>
      <c r="G24" s="76"/>
      <c r="H24" s="76"/>
      <c r="I24" s="76"/>
      <c r="J24" s="76"/>
      <c r="K24" s="76"/>
      <c r="L24" s="76"/>
    </row>
    <row r="25" spans="1:33" x14ac:dyDescent="0.25">
      <c r="A25" s="95">
        <v>2017</v>
      </c>
      <c r="B25" s="96">
        <f t="shared" si="18"/>
        <v>99.570302652999587</v>
      </c>
      <c r="D25" s="93">
        <v>1.8150322580373635</v>
      </c>
      <c r="E25" s="76"/>
      <c r="F25" s="76"/>
      <c r="G25" s="76"/>
      <c r="H25" s="76"/>
      <c r="I25" s="76"/>
      <c r="J25" s="76"/>
      <c r="K25" s="76"/>
      <c r="L25" s="76"/>
    </row>
    <row r="26" spans="1:33" x14ac:dyDescent="0.25">
      <c r="A26" s="95">
        <v>2018</v>
      </c>
      <c r="B26" s="96">
        <f t="shared" si="18"/>
        <v>103.08374245240223</v>
      </c>
      <c r="D26" s="93">
        <v>1.7445846828163081</v>
      </c>
      <c r="E26" s="76"/>
      <c r="F26" s="76"/>
      <c r="G26" s="76"/>
      <c r="H26" s="76"/>
      <c r="I26" s="76"/>
      <c r="J26" s="76"/>
      <c r="K26" s="76"/>
      <c r="L26" s="76"/>
    </row>
    <row r="27" spans="1:33" x14ac:dyDescent="0.25">
      <c r="A27" s="95">
        <v>2019</v>
      </c>
      <c r="B27" s="96">
        <f t="shared" si="18"/>
        <v>101.31585027197106</v>
      </c>
      <c r="D27" s="93">
        <v>0.83663755185869881</v>
      </c>
      <c r="E27" s="76"/>
      <c r="F27" s="76"/>
      <c r="G27" s="76"/>
      <c r="H27" s="76"/>
      <c r="I27" s="76"/>
      <c r="J27" s="76"/>
      <c r="K27" s="76"/>
      <c r="L27" s="76"/>
    </row>
    <row r="28" spans="1:33" x14ac:dyDescent="0.25">
      <c r="A28" s="95">
        <v>2020</v>
      </c>
      <c r="B28" s="96">
        <f t="shared" si="18"/>
        <v>97.965226804681095</v>
      </c>
      <c r="D28" s="93">
        <v>-7.3495647991626223</v>
      </c>
      <c r="E28" s="76"/>
      <c r="F28" s="76"/>
      <c r="G28" s="76"/>
      <c r="H28" s="76"/>
      <c r="I28" s="76"/>
      <c r="J28" s="76"/>
      <c r="K28" s="76"/>
      <c r="L28" s="76"/>
    </row>
    <row r="29" spans="1:33" x14ac:dyDescent="0.25">
      <c r="A29" s="95">
        <v>2021</v>
      </c>
      <c r="B29" s="96">
        <f t="shared" si="18"/>
        <v>102.2951121578851</v>
      </c>
      <c r="D29" s="93">
        <v>9.5195785507297117</v>
      </c>
      <c r="E29" s="76"/>
      <c r="F29" s="76"/>
      <c r="G29" s="76"/>
      <c r="H29" s="76"/>
      <c r="I29" s="76"/>
      <c r="J29" s="76"/>
      <c r="K29" s="76"/>
      <c r="L29" s="76"/>
    </row>
    <row r="30" spans="1:33" x14ac:dyDescent="0.25">
      <c r="A30" s="9"/>
      <c r="F30" s="76"/>
    </row>
    <row r="31" spans="1:33" x14ac:dyDescent="0.25">
      <c r="A31" s="9"/>
      <c r="F31" s="76"/>
    </row>
    <row r="32" spans="1:33" x14ac:dyDescent="0.25">
      <c r="A32" s="9"/>
    </row>
    <row r="33" spans="1:4" x14ac:dyDescent="0.25">
      <c r="A33" s="9"/>
    </row>
    <row r="34" spans="1:4" x14ac:dyDescent="0.25">
      <c r="A34" s="9"/>
    </row>
    <row r="35" spans="1:4" x14ac:dyDescent="0.25">
      <c r="A35" s="9"/>
    </row>
    <row r="36" spans="1:4" x14ac:dyDescent="0.25">
      <c r="A36" s="9"/>
      <c r="B36" s="9" t="s">
        <v>249</v>
      </c>
      <c r="C36" s="9" t="s">
        <v>250</v>
      </c>
      <c r="D36" s="9" t="s">
        <v>251</v>
      </c>
    </row>
    <row r="37" spans="1:4" x14ac:dyDescent="0.25">
      <c r="A37" s="9"/>
      <c r="B37" s="9">
        <v>12120.577453873901</v>
      </c>
      <c r="C37" s="9">
        <v>214252.837991112</v>
      </c>
      <c r="D37" s="105">
        <f>G6*B6</f>
        <v>34532.638712367945</v>
      </c>
    </row>
    <row r="38" spans="1:4" x14ac:dyDescent="0.25">
      <c r="A38" s="9"/>
      <c r="B38" s="9">
        <v>12495.15212588955</v>
      </c>
      <c r="C38" s="9">
        <v>208132.19967952149</v>
      </c>
      <c r="D38" s="105">
        <f t="shared" ref="D38:D47" si="19">G7*B7</f>
        <v>31750.124915315304</v>
      </c>
    </row>
    <row r="39" spans="1:4" x14ac:dyDescent="0.25">
      <c r="A39" s="9"/>
      <c r="B39" s="9">
        <v>13241.885057724012</v>
      </c>
      <c r="C39" s="9">
        <v>226067.14054584273</v>
      </c>
      <c r="D39" s="105">
        <f t="shared" si="19"/>
        <v>37493.4654037566</v>
      </c>
    </row>
    <row r="40" spans="1:4" x14ac:dyDescent="0.25">
      <c r="A40" s="9"/>
      <c r="B40" s="9">
        <v>13045.31408495896</v>
      </c>
      <c r="C40" s="9">
        <v>225247.98432144331</v>
      </c>
      <c r="D40" s="105">
        <f t="shared" si="19"/>
        <v>35154.365694128799</v>
      </c>
    </row>
    <row r="41" spans="1:4" x14ac:dyDescent="0.25">
      <c r="A41" s="9"/>
      <c r="B41" s="9">
        <v>12129.50665750346</v>
      </c>
      <c r="C41" s="9">
        <v>216320.27798082176</v>
      </c>
      <c r="D41" s="105">
        <f t="shared" si="19"/>
        <v>29832.457967499766</v>
      </c>
    </row>
    <row r="42" spans="1:4" x14ac:dyDescent="0.25">
      <c r="A42" s="9"/>
      <c r="B42" s="9">
        <v>11438.720597532369</v>
      </c>
      <c r="C42" s="9">
        <v>212385.42219079792</v>
      </c>
      <c r="D42" s="105">
        <f t="shared" si="19"/>
        <v>24133.095647043436</v>
      </c>
    </row>
    <row r="43" spans="1:4" x14ac:dyDescent="0.25">
      <c r="A43" s="9"/>
      <c r="B43" s="9">
        <v>10774.238218059274</v>
      </c>
      <c r="C43" s="9">
        <v>217112.38496315482</v>
      </c>
      <c r="D43" s="105">
        <f t="shared" si="19"/>
        <v>23883.126536408541</v>
      </c>
    </row>
    <row r="44" spans="1:4" x14ac:dyDescent="0.25">
      <c r="A44" s="9"/>
      <c r="B44" s="9">
        <v>10500.500627506304</v>
      </c>
      <c r="C44" s="9">
        <v>221361.79767591457</v>
      </c>
      <c r="D44" s="105">
        <f t="shared" si="19"/>
        <v>26149.782986436505</v>
      </c>
    </row>
    <row r="45" spans="1:4" x14ac:dyDescent="0.25">
      <c r="A45" s="9"/>
      <c r="B45" s="9">
        <v>10411.419831289058</v>
      </c>
      <c r="C45" s="9">
        <v>223390.72552834084</v>
      </c>
      <c r="D45" s="105">
        <f t="shared" si="19"/>
        <v>26536.891468137128</v>
      </c>
    </row>
    <row r="46" spans="1:4" x14ac:dyDescent="0.25">
      <c r="A46" s="9"/>
      <c r="B46" s="9">
        <v>9888.4283680825429</v>
      </c>
      <c r="C46" s="9">
        <v>206730.27681650899</v>
      </c>
      <c r="D46" s="105">
        <f t="shared" si="19"/>
        <v>27109.012821545519</v>
      </c>
    </row>
    <row r="47" spans="1:4" x14ac:dyDescent="0.25">
      <c r="A47" s="9"/>
      <c r="B47" s="9">
        <v>10833.310129236994</v>
      </c>
      <c r="C47" s="9">
        <v>226406.58285097536</v>
      </c>
      <c r="D47" s="105">
        <f t="shared" si="19"/>
        <v>34067.348871778617</v>
      </c>
    </row>
    <row r="48" spans="1:4" x14ac:dyDescent="0.25">
      <c r="A48" s="9"/>
    </row>
    <row r="49" spans="1:4" x14ac:dyDescent="0.25">
      <c r="A49" s="9"/>
    </row>
    <row r="50" spans="1:4" x14ac:dyDescent="0.25">
      <c r="A50" s="9"/>
      <c r="B50" s="9" t="str">
        <f>SUBSTITUTE(B37,",",".")</f>
        <v>12120.5774538739</v>
      </c>
      <c r="C50" s="9" t="str">
        <f t="shared" ref="C50:D50" si="20">SUBSTITUTE(C37,",",".")</f>
        <v>214252.837991112</v>
      </c>
      <c r="D50" s="9" t="str">
        <f t="shared" si="20"/>
        <v>34532.6387123679</v>
      </c>
    </row>
    <row r="51" spans="1:4" x14ac:dyDescent="0.25">
      <c r="A51" s="9"/>
      <c r="B51" s="9" t="str">
        <f t="shared" ref="B51:D51" si="21">SUBSTITUTE(B38,",",".")</f>
        <v>12495.1521258896</v>
      </c>
      <c r="C51" s="9" t="str">
        <f t="shared" si="21"/>
        <v>208132.199679521</v>
      </c>
      <c r="D51" s="9" t="str">
        <f t="shared" si="21"/>
        <v>31750.1249153153</v>
      </c>
    </row>
    <row r="52" spans="1:4" x14ac:dyDescent="0.25">
      <c r="A52" s="9"/>
      <c r="B52" s="9" t="str">
        <f t="shared" ref="B52:D52" si="22">SUBSTITUTE(B39,",",".")</f>
        <v>13241.885057724</v>
      </c>
      <c r="C52" s="9" t="str">
        <f t="shared" si="22"/>
        <v>226067.140545843</v>
      </c>
      <c r="D52" s="9" t="str">
        <f t="shared" si="22"/>
        <v>37493.4654037566</v>
      </c>
    </row>
    <row r="53" spans="1:4" x14ac:dyDescent="0.25">
      <c r="A53" s="9"/>
      <c r="B53" s="9" t="str">
        <f t="shared" ref="B53:D53" si="23">SUBSTITUTE(B40,",",".")</f>
        <v>13045.314084959</v>
      </c>
      <c r="C53" s="9" t="str">
        <f t="shared" si="23"/>
        <v>225247.984321443</v>
      </c>
      <c r="D53" s="9" t="str">
        <f t="shared" si="23"/>
        <v>35154.3656941288</v>
      </c>
    </row>
    <row r="54" spans="1:4" x14ac:dyDescent="0.25">
      <c r="A54" s="9"/>
      <c r="B54" s="9" t="str">
        <f t="shared" ref="B54:D54" si="24">SUBSTITUTE(B41,",",".")</f>
        <v>12129.5066575035</v>
      </c>
      <c r="C54" s="9" t="str">
        <f t="shared" si="24"/>
        <v>216320.277980822</v>
      </c>
      <c r="D54" s="9" t="str">
        <f t="shared" si="24"/>
        <v>29832.4579674998</v>
      </c>
    </row>
    <row r="55" spans="1:4" x14ac:dyDescent="0.25">
      <c r="A55" s="9"/>
      <c r="B55" s="9" t="str">
        <f t="shared" ref="B55:D55" si="25">SUBSTITUTE(B42,",",".")</f>
        <v>11438.7205975324</v>
      </c>
      <c r="C55" s="9" t="str">
        <f t="shared" si="25"/>
        <v>212385.422190798</v>
      </c>
      <c r="D55" s="9" t="str">
        <f t="shared" si="25"/>
        <v>24133.0956470434</v>
      </c>
    </row>
    <row r="56" spans="1:4" x14ac:dyDescent="0.25">
      <c r="A56" s="9"/>
      <c r="B56" s="9" t="str">
        <f t="shared" ref="B56:D56" si="26">SUBSTITUTE(B43,",",".")</f>
        <v>10774.2382180593</v>
      </c>
      <c r="C56" s="9" t="str">
        <f t="shared" si="26"/>
        <v>217112.384963155</v>
      </c>
      <c r="D56" s="9" t="str">
        <f t="shared" si="26"/>
        <v>23883.1265364085</v>
      </c>
    </row>
    <row r="57" spans="1:4" x14ac:dyDescent="0.25">
      <c r="A57" s="9"/>
      <c r="B57" s="9" t="str">
        <f t="shared" ref="B57:D57" si="27">SUBSTITUTE(B44,",",".")</f>
        <v>10500.5006275063</v>
      </c>
      <c r="C57" s="9" t="str">
        <f t="shared" si="27"/>
        <v>221361.797675915</v>
      </c>
      <c r="D57" s="9" t="str">
        <f t="shared" si="27"/>
        <v>26149.7829864365</v>
      </c>
    </row>
    <row r="58" spans="1:4" x14ac:dyDescent="0.25">
      <c r="A58" s="9"/>
      <c r="B58" s="9" t="str">
        <f t="shared" ref="B58:D58" si="28">SUBSTITUTE(B45,",",".")</f>
        <v>10411.4198312891</v>
      </c>
      <c r="C58" s="9" t="str">
        <f t="shared" si="28"/>
        <v>223390.725528341</v>
      </c>
      <c r="D58" s="9" t="str">
        <f t="shared" si="28"/>
        <v>26536.8914681371</v>
      </c>
    </row>
    <row r="59" spans="1:4" x14ac:dyDescent="0.25">
      <c r="A59" s="9"/>
      <c r="B59" s="9" t="str">
        <f t="shared" ref="B59:D59" si="29">SUBSTITUTE(B46,",",".")</f>
        <v>9888.42836808254</v>
      </c>
      <c r="C59" s="9" t="str">
        <f t="shared" si="29"/>
        <v>206730.276816509</v>
      </c>
      <c r="D59" s="9" t="str">
        <f t="shared" si="29"/>
        <v>27109.0128215455</v>
      </c>
    </row>
    <row r="60" spans="1:4" x14ac:dyDescent="0.25">
      <c r="A60" s="9"/>
      <c r="B60" s="9" t="str">
        <f t="shared" ref="B60:D60" si="30">SUBSTITUTE(B47,",",".")</f>
        <v>10833.310129237</v>
      </c>
      <c r="C60" s="9" t="str">
        <f t="shared" si="30"/>
        <v>226406.582850975</v>
      </c>
      <c r="D60" s="9" t="str">
        <f t="shared" si="30"/>
        <v>34067.3488717786</v>
      </c>
    </row>
    <row r="61" spans="1:4" x14ac:dyDescent="0.25">
      <c r="A61" s="9"/>
      <c r="B61" s="9" t="str">
        <f t="shared" ref="B61:D61" si="31">SUBSTITUTE(B48,",",".")</f>
        <v/>
      </c>
      <c r="C61" s="9" t="str">
        <f t="shared" si="31"/>
        <v/>
      </c>
      <c r="D61" s="9" t="str">
        <f t="shared" si="31"/>
        <v/>
      </c>
    </row>
    <row r="62" spans="1:4" x14ac:dyDescent="0.25">
      <c r="A62" s="9"/>
      <c r="B62" s="9" t="str">
        <f t="shared" ref="B62:D62" si="32">SUBSTITUTE(B49,",",".")</f>
        <v/>
      </c>
      <c r="C62" s="9" t="str">
        <f t="shared" si="32"/>
        <v/>
      </c>
      <c r="D62" s="9" t="str">
        <f t="shared" si="32"/>
        <v/>
      </c>
    </row>
    <row r="63" spans="1:4" x14ac:dyDescent="0.25">
      <c r="A63" s="9"/>
    </row>
    <row r="64" spans="1:4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</sheetData>
  <mergeCells count="4">
    <mergeCell ref="B4:Q4"/>
    <mergeCell ref="S4:V4"/>
    <mergeCell ref="X4:AB4"/>
    <mergeCell ref="AD4:AF4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02D7-2BF0-4850-83C5-68DD2B4B6653}">
  <dimension ref="A1:AE353"/>
  <sheetViews>
    <sheetView topLeftCell="A5" workbookViewId="0">
      <selection activeCell="T17" sqref="T17"/>
    </sheetView>
  </sheetViews>
  <sheetFormatPr defaultColWidth="9.140625" defaultRowHeight="15.75" x14ac:dyDescent="0.25"/>
  <cols>
    <col min="1" max="1" width="8.42578125" style="10" bestFit="1" customWidth="1"/>
    <col min="2" max="2" width="32.140625" style="9" bestFit="1" customWidth="1"/>
    <col min="3" max="3" width="20.7109375" style="9" customWidth="1"/>
    <col min="4" max="4" width="20.42578125" style="9" bestFit="1" customWidth="1"/>
    <col min="5" max="5" width="20.7109375" style="9" customWidth="1"/>
    <col min="6" max="7" width="15.7109375" style="9" customWidth="1"/>
    <col min="8" max="8" width="5.85546875" style="9" customWidth="1"/>
    <col min="9" max="9" width="14.85546875" style="9" customWidth="1"/>
    <col min="10" max="10" width="20" style="9" customWidth="1"/>
    <col min="11" max="11" width="5.7109375" style="9" customWidth="1"/>
    <col min="12" max="12" width="15.42578125" style="9" customWidth="1"/>
    <col min="13" max="13" width="13.140625" style="9" customWidth="1"/>
    <col min="14" max="14" width="15.42578125" style="9" customWidth="1"/>
    <col min="15" max="15" width="5.7109375" style="9" customWidth="1"/>
    <col min="16" max="16" width="17.42578125" style="9" bestFit="1" customWidth="1"/>
    <col min="17" max="17" width="15.85546875" style="9" customWidth="1"/>
    <col min="18" max="18" width="19.28515625" style="9" bestFit="1" customWidth="1"/>
    <col min="19" max="16384" width="9.140625" style="9"/>
  </cols>
  <sheetData>
    <row r="1" spans="1:31" s="7" customFormat="1" ht="30" customHeight="1" x14ac:dyDescent="0.25">
      <c r="A1" s="14"/>
      <c r="B1" s="6" t="s">
        <v>281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 s="7" customFormat="1" ht="24.95" customHeight="1" thickBot="1" x14ac:dyDescent="0.3">
      <c r="A2" s="8"/>
      <c r="B2" s="47" t="s">
        <v>284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s="10" customFormat="1" ht="42.75" customHeight="1" thickBot="1" x14ac:dyDescent="0.3">
      <c r="A3" s="7"/>
      <c r="B3" s="54" t="s">
        <v>126</v>
      </c>
      <c r="C3" s="9"/>
      <c r="D3" s="9"/>
      <c r="E3" s="9"/>
      <c r="F3" s="9"/>
      <c r="G3" s="9"/>
      <c r="H3" s="9"/>
    </row>
    <row r="4" spans="1:31" s="10" customFormat="1" ht="16.5" thickBot="1" x14ac:dyDescent="0.3">
      <c r="A4" s="55"/>
      <c r="B4" s="117" t="s">
        <v>14</v>
      </c>
      <c r="C4" s="117"/>
      <c r="D4" s="117"/>
      <c r="E4" s="117"/>
      <c r="F4" s="117"/>
      <c r="G4" s="118"/>
      <c r="H4" s="9"/>
      <c r="I4" s="114" t="s">
        <v>15</v>
      </c>
      <c r="J4" s="116"/>
      <c r="L4" s="117" t="s">
        <v>16</v>
      </c>
      <c r="M4" s="117"/>
      <c r="N4" s="117"/>
    </row>
    <row r="5" spans="1:31" s="10" customFormat="1" ht="47.25" x14ac:dyDescent="0.25">
      <c r="A5" s="11"/>
      <c r="B5" s="12" t="s">
        <v>29</v>
      </c>
      <c r="C5" s="12" t="s">
        <v>18</v>
      </c>
      <c r="D5" s="12" t="s">
        <v>19</v>
      </c>
      <c r="E5" s="12" t="s">
        <v>20</v>
      </c>
      <c r="F5" s="12" t="s">
        <v>21</v>
      </c>
      <c r="G5" s="12" t="s">
        <v>128</v>
      </c>
      <c r="H5" s="9"/>
      <c r="I5" s="12" t="s">
        <v>22</v>
      </c>
      <c r="J5" s="12" t="s">
        <v>23</v>
      </c>
      <c r="L5" s="12" t="s">
        <v>22</v>
      </c>
      <c r="M5" s="12" t="s">
        <v>24</v>
      </c>
      <c r="N5" s="12" t="s">
        <v>25</v>
      </c>
    </row>
    <row r="6" spans="1:31" s="10" customFormat="1" x14ac:dyDescent="0.25">
      <c r="A6" s="9">
        <v>2011</v>
      </c>
      <c r="B6" s="69">
        <v>12120.577453873901</v>
      </c>
      <c r="C6" s="66">
        <v>5450</v>
      </c>
      <c r="D6" s="9"/>
      <c r="E6" s="9"/>
      <c r="F6" s="9"/>
      <c r="G6" s="9"/>
      <c r="I6" s="52"/>
      <c r="J6" s="52"/>
      <c r="L6" s="52"/>
      <c r="M6" s="52"/>
      <c r="N6" s="52"/>
    </row>
    <row r="7" spans="1:31" s="10" customFormat="1" x14ac:dyDescent="0.25">
      <c r="A7" s="9">
        <v>2012</v>
      </c>
      <c r="B7" s="68">
        <f>B6*(1+D21/100)</f>
        <v>12495.15212588955</v>
      </c>
      <c r="C7" s="49">
        <v>5510.75</v>
      </c>
      <c r="D7" s="49">
        <v>281.75</v>
      </c>
      <c r="E7" s="13">
        <f>C7+D7</f>
        <v>5792.5</v>
      </c>
      <c r="F7" s="9">
        <f>C7/E7</f>
        <v>0.95135951661631424</v>
      </c>
      <c r="G7" s="53">
        <v>0.10348306566089088</v>
      </c>
      <c r="I7" s="62">
        <f>B7/B6-1</f>
        <v>3.0904028577939613E-2</v>
      </c>
      <c r="J7" s="65">
        <f>(C7/C6-1)*G7</f>
        <v>1.1535038970457076E-3</v>
      </c>
      <c r="L7" s="62">
        <f>I7</f>
        <v>3.0904028577939613E-2</v>
      </c>
      <c r="M7" s="62">
        <f>L7-N7</f>
        <v>2.9750524680893904E-2</v>
      </c>
      <c r="N7" s="62">
        <f>J7</f>
        <v>1.1535038970457076E-3</v>
      </c>
    </row>
    <row r="8" spans="1:31" s="10" customFormat="1" x14ac:dyDescent="0.25">
      <c r="A8" s="9">
        <v>2013</v>
      </c>
      <c r="B8" s="68">
        <f t="shared" ref="B8:B16" si="0">B7*(1+D22/100)</f>
        <v>13241.885057724012</v>
      </c>
      <c r="C8" s="49">
        <v>5656.25</v>
      </c>
      <c r="D8" s="49">
        <v>292.5</v>
      </c>
      <c r="E8" s="13">
        <f t="shared" ref="E8:E18" si="1">C8+D8</f>
        <v>5948.75</v>
      </c>
      <c r="F8" s="9">
        <f t="shared" ref="F8:F18" si="2">C8/E8</f>
        <v>0.9508300063038454</v>
      </c>
      <c r="G8" s="53">
        <v>7.662317524311632E-2</v>
      </c>
      <c r="I8" s="62">
        <f t="shared" ref="I8:I17" si="3">B8/B7-1</f>
        <v>5.9761811966038803E-2</v>
      </c>
      <c r="J8" s="65">
        <f>(C8/C7-1)*G8</f>
        <v>2.0230770762370682E-3</v>
      </c>
      <c r="L8" s="62">
        <f t="shared" ref="L8:L17" si="4">I8</f>
        <v>5.9761811966038803E-2</v>
      </c>
      <c r="M8" s="62">
        <f t="shared" ref="M8:M17" si="5">L8-N8</f>
        <v>5.7738734889801732E-2</v>
      </c>
      <c r="N8" s="62">
        <f t="shared" ref="N8:N17" si="6">J8</f>
        <v>2.0230770762370682E-3</v>
      </c>
    </row>
    <row r="9" spans="1:31" s="10" customFormat="1" x14ac:dyDescent="0.25">
      <c r="A9" s="9">
        <v>2014</v>
      </c>
      <c r="B9" s="68">
        <f t="shared" si="0"/>
        <v>13045.31408495896</v>
      </c>
      <c r="C9" s="49">
        <v>5630</v>
      </c>
      <c r="D9" s="49">
        <v>302.5</v>
      </c>
      <c r="E9" s="13">
        <f t="shared" si="1"/>
        <v>5932.5</v>
      </c>
      <c r="F9" s="9">
        <f t="shared" si="2"/>
        <v>0.94900969237252419</v>
      </c>
      <c r="G9" s="53">
        <v>-3.6269649591119023E-2</v>
      </c>
      <c r="I9" s="62">
        <f t="shared" si="3"/>
        <v>-1.4844636689426038E-2</v>
      </c>
      <c r="J9" s="65">
        <f>(C9/C8-1)*G9</f>
        <v>1.6832323567149052E-4</v>
      </c>
      <c r="L9" s="62">
        <f t="shared" si="4"/>
        <v>-1.4844636689426038E-2</v>
      </c>
      <c r="M9" s="62">
        <f t="shared" si="5"/>
        <v>-1.5012959925097529E-2</v>
      </c>
      <c r="N9" s="62">
        <f t="shared" si="6"/>
        <v>1.6832323567149052E-4</v>
      </c>
    </row>
    <row r="10" spans="1:31" x14ac:dyDescent="0.25">
      <c r="A10" s="9">
        <v>2015</v>
      </c>
      <c r="B10" s="68">
        <f t="shared" si="0"/>
        <v>12129.50665750346</v>
      </c>
      <c r="C10" s="49">
        <v>5645.75</v>
      </c>
      <c r="D10" s="49">
        <v>385</v>
      </c>
      <c r="E10" s="13">
        <f t="shared" si="1"/>
        <v>6030.75</v>
      </c>
      <c r="F10" s="9">
        <f t="shared" si="2"/>
        <v>0.93616051071591422</v>
      </c>
      <c r="G10" s="53">
        <v>0.1514627391475048</v>
      </c>
      <c r="H10" s="48"/>
      <c r="I10" s="62">
        <f t="shared" si="3"/>
        <v>-7.0202022081738313E-2</v>
      </c>
      <c r="J10" s="65">
        <f t="shared" ref="J10:J17" si="7">(C10/C9-1)*G10</f>
        <v>4.2371903047480007E-4</v>
      </c>
      <c r="K10" s="48"/>
      <c r="L10" s="62">
        <f t="shared" si="4"/>
        <v>-7.0202022081738313E-2</v>
      </c>
      <c r="M10" s="62">
        <f t="shared" si="5"/>
        <v>-7.062574111221312E-2</v>
      </c>
      <c r="N10" s="62">
        <f t="shared" si="6"/>
        <v>4.2371903047480007E-4</v>
      </c>
      <c r="O10" s="48"/>
      <c r="P10" s="48"/>
    </row>
    <row r="11" spans="1:31" x14ac:dyDescent="0.25">
      <c r="A11" s="9">
        <v>2016</v>
      </c>
      <c r="B11" s="68">
        <f t="shared" si="0"/>
        <v>11438.720597532369</v>
      </c>
      <c r="C11" s="49">
        <v>5602.5</v>
      </c>
      <c r="D11" s="49">
        <v>508.75</v>
      </c>
      <c r="E11" s="13">
        <f t="shared" si="1"/>
        <v>6111.25</v>
      </c>
      <c r="F11" s="9">
        <f t="shared" si="2"/>
        <v>0.91675189200245444</v>
      </c>
      <c r="G11" s="53">
        <v>0.19251976598568252</v>
      </c>
      <c r="H11" s="48"/>
      <c r="I11" s="62">
        <f t="shared" si="3"/>
        <v>-5.6950878504507196E-2</v>
      </c>
      <c r="J11" s="65">
        <f t="shared" si="7"/>
        <v>-1.4748226327557538E-3</v>
      </c>
      <c r="K11" s="48"/>
      <c r="L11" s="62">
        <f t="shared" si="4"/>
        <v>-5.6950878504507196E-2</v>
      </c>
      <c r="M11" s="62">
        <f t="shared" si="5"/>
        <v>-5.5476055871751445E-2</v>
      </c>
      <c r="N11" s="62">
        <f t="shared" si="6"/>
        <v>-1.4748226327557538E-3</v>
      </c>
      <c r="O11" s="48"/>
      <c r="P11" s="48"/>
    </row>
    <row r="12" spans="1:31" x14ac:dyDescent="0.25">
      <c r="A12" s="9">
        <v>2017</v>
      </c>
      <c r="B12" s="68">
        <f t="shared" si="0"/>
        <v>10774.238218059274</v>
      </c>
      <c r="C12" s="49">
        <v>5609.75</v>
      </c>
      <c r="D12" s="49">
        <v>522.75</v>
      </c>
      <c r="E12" s="13">
        <f t="shared" si="1"/>
        <v>6132.5</v>
      </c>
      <c r="F12" s="9">
        <f t="shared" si="2"/>
        <v>0.9147574398695475</v>
      </c>
      <c r="G12" s="53">
        <v>0.37566521528785679</v>
      </c>
      <c r="H12" s="48"/>
      <c r="I12" s="62">
        <f t="shared" si="3"/>
        <v>-5.8090620695503414E-2</v>
      </c>
      <c r="J12" s="65">
        <f t="shared" si="7"/>
        <v>4.8613526297847982E-4</v>
      </c>
      <c r="K12" s="48"/>
      <c r="L12" s="62">
        <f t="shared" si="4"/>
        <v>-5.8090620695503414E-2</v>
      </c>
      <c r="M12" s="62">
        <f t="shared" si="5"/>
        <v>-5.8576755958481892E-2</v>
      </c>
      <c r="N12" s="62">
        <f t="shared" si="6"/>
        <v>4.8613526297847982E-4</v>
      </c>
      <c r="O12" s="48"/>
      <c r="P12" s="48"/>
    </row>
    <row r="13" spans="1:31" x14ac:dyDescent="0.25">
      <c r="A13" s="9">
        <v>2018</v>
      </c>
      <c r="B13" s="68">
        <f t="shared" si="0"/>
        <v>10500.500627506304</v>
      </c>
      <c r="C13" s="49">
        <v>5558.25</v>
      </c>
      <c r="D13" s="49">
        <v>496</v>
      </c>
      <c r="E13" s="13">
        <f t="shared" si="1"/>
        <v>6054.25</v>
      </c>
      <c r="F13" s="9">
        <f t="shared" si="2"/>
        <v>0.91807408019160097</v>
      </c>
      <c r="G13" s="53">
        <v>6.9036126956267374E-2</v>
      </c>
      <c r="H13" s="48"/>
      <c r="I13" s="62">
        <f t="shared" si="3"/>
        <v>-2.5406677020946455E-2</v>
      </c>
      <c r="J13" s="65">
        <f t="shared" si="7"/>
        <v>-6.3378235005976866E-4</v>
      </c>
      <c r="K13" s="48"/>
      <c r="L13" s="62">
        <f t="shared" si="4"/>
        <v>-2.5406677020946455E-2</v>
      </c>
      <c r="M13" s="62">
        <f t="shared" si="5"/>
        <v>-2.4772894670886687E-2</v>
      </c>
      <c r="N13" s="62">
        <f t="shared" si="6"/>
        <v>-6.3378235005976866E-4</v>
      </c>
      <c r="O13" s="48"/>
      <c r="P13" s="48"/>
    </row>
    <row r="14" spans="1:31" x14ac:dyDescent="0.25">
      <c r="A14" s="9">
        <v>2019</v>
      </c>
      <c r="B14" s="68">
        <f t="shared" si="0"/>
        <v>10411.419831289058</v>
      </c>
      <c r="C14" s="49">
        <v>5714.5</v>
      </c>
      <c r="D14" s="49">
        <v>505.25</v>
      </c>
      <c r="E14" s="13">
        <f t="shared" si="1"/>
        <v>6219.75</v>
      </c>
      <c r="F14" s="9">
        <f t="shared" si="2"/>
        <v>0.91876683146428717</v>
      </c>
      <c r="G14" s="53">
        <v>-0.17526681680211495</v>
      </c>
      <c r="H14" s="48"/>
      <c r="I14" s="62">
        <f t="shared" si="3"/>
        <v>-8.4834808717497712E-3</v>
      </c>
      <c r="J14" s="65">
        <f t="shared" si="7"/>
        <v>-4.9269896325876816E-3</v>
      </c>
      <c r="K14" s="48"/>
      <c r="L14" s="62">
        <f t="shared" si="4"/>
        <v>-8.4834808717497712E-3</v>
      </c>
      <c r="M14" s="62">
        <f t="shared" si="5"/>
        <v>-3.5564912391620896E-3</v>
      </c>
      <c r="N14" s="62">
        <f t="shared" si="6"/>
        <v>-4.9269896325876816E-3</v>
      </c>
      <c r="O14" s="48"/>
      <c r="P14" s="48"/>
    </row>
    <row r="15" spans="1:31" x14ac:dyDescent="0.25">
      <c r="A15" s="9">
        <v>2020</v>
      </c>
      <c r="B15" s="68">
        <f t="shared" si="0"/>
        <v>9888.4283680825429</v>
      </c>
      <c r="C15" s="49">
        <v>5344.75</v>
      </c>
      <c r="D15" s="49">
        <v>549.75</v>
      </c>
      <c r="E15" s="13">
        <f t="shared" si="1"/>
        <v>5894.5</v>
      </c>
      <c r="F15" s="9">
        <f t="shared" si="2"/>
        <v>0.90673509203494784</v>
      </c>
      <c r="G15" s="53">
        <v>1.6794961511546535E-2</v>
      </c>
      <c r="H15" s="48"/>
      <c r="I15" s="62">
        <f t="shared" si="3"/>
        <v>-5.0232482378127608E-2</v>
      </c>
      <c r="J15" s="65">
        <f t="shared" si="7"/>
        <v>-1.0866982271229909E-3</v>
      </c>
      <c r="K15" s="48"/>
      <c r="L15" s="62">
        <f t="shared" si="4"/>
        <v>-5.0232482378127608E-2</v>
      </c>
      <c r="M15" s="62">
        <f t="shared" si="5"/>
        <v>-4.9145784151004616E-2</v>
      </c>
      <c r="N15" s="62">
        <f t="shared" si="6"/>
        <v>-1.0866982271229909E-3</v>
      </c>
      <c r="O15" s="48"/>
      <c r="P15" s="48"/>
    </row>
    <row r="16" spans="1:31" x14ac:dyDescent="0.25">
      <c r="A16" s="9">
        <v>2021</v>
      </c>
      <c r="B16" s="68">
        <f t="shared" si="0"/>
        <v>10833.310129236994</v>
      </c>
      <c r="C16" s="49">
        <v>5523.75</v>
      </c>
      <c r="D16" s="49">
        <v>527.75</v>
      </c>
      <c r="E16" s="13">
        <f t="shared" si="1"/>
        <v>6051.5</v>
      </c>
      <c r="F16" s="9">
        <f t="shared" si="2"/>
        <v>0.91279021730149545</v>
      </c>
      <c r="G16" s="53">
        <v>3.6348407550722328E-2</v>
      </c>
      <c r="H16" s="48"/>
      <c r="I16" s="62">
        <f t="shared" si="3"/>
        <v>9.5554290933056674E-2</v>
      </c>
      <c r="J16" s="65">
        <f t="shared" si="7"/>
        <v>1.2173375651956247E-3</v>
      </c>
      <c r="K16" s="48"/>
      <c r="L16" s="62">
        <f t="shared" si="4"/>
        <v>9.5554290933056674E-2</v>
      </c>
      <c r="M16" s="62">
        <f t="shared" si="5"/>
        <v>9.4336953367861048E-2</v>
      </c>
      <c r="N16" s="62">
        <f t="shared" si="6"/>
        <v>1.2173375651956247E-3</v>
      </c>
      <c r="O16" s="48"/>
      <c r="P16" s="48"/>
    </row>
    <row r="17" spans="1:16" x14ac:dyDescent="0.25">
      <c r="A17" s="9">
        <v>2022</v>
      </c>
      <c r="B17" s="68">
        <f>B16*1.058</f>
        <v>11461.642116732741</v>
      </c>
      <c r="C17" s="49">
        <v>5842.75</v>
      </c>
      <c r="D17" s="49">
        <v>378.75</v>
      </c>
      <c r="E17" s="13">
        <f t="shared" si="1"/>
        <v>6221.5</v>
      </c>
      <c r="F17" s="9">
        <f t="shared" si="2"/>
        <v>0.93912239813549792</v>
      </c>
      <c r="G17" s="53">
        <v>6.8252078476884137E-2</v>
      </c>
      <c r="H17" s="48"/>
      <c r="I17" s="62">
        <f t="shared" si="3"/>
        <v>5.8000000000000052E-2</v>
      </c>
      <c r="J17" s="65">
        <f t="shared" si="7"/>
        <v>3.9416000061780554E-3</v>
      </c>
      <c r="K17" s="48"/>
      <c r="L17" s="62">
        <f t="shared" si="4"/>
        <v>5.8000000000000052E-2</v>
      </c>
      <c r="M17" s="62">
        <f t="shared" si="5"/>
        <v>5.4058399993821997E-2</v>
      </c>
      <c r="N17" s="62">
        <f t="shared" si="6"/>
        <v>3.9416000061780554E-3</v>
      </c>
      <c r="O17" s="48"/>
      <c r="P17" s="48"/>
    </row>
    <row r="18" spans="1:16" x14ac:dyDescent="0.25">
      <c r="A18" s="9"/>
      <c r="C18" s="49">
        <v>5903</v>
      </c>
      <c r="D18" s="49">
        <v>332.66666666666669</v>
      </c>
      <c r="E18" s="13">
        <f t="shared" si="1"/>
        <v>6235.666666666667</v>
      </c>
      <c r="F18" s="9">
        <f t="shared" si="2"/>
        <v>0.94665098626182709</v>
      </c>
      <c r="G18" s="53">
        <v>-3.4111310592459608E-2</v>
      </c>
    </row>
    <row r="19" spans="1:16" x14ac:dyDescent="0.25">
      <c r="A19" s="9" t="s">
        <v>53</v>
      </c>
      <c r="B19" s="9" t="s">
        <v>216</v>
      </c>
    </row>
    <row r="20" spans="1:16" x14ac:dyDescent="0.25">
      <c r="A20" s="9">
        <v>2011</v>
      </c>
      <c r="B20" s="9">
        <v>100</v>
      </c>
      <c r="D20" s="9" t="s">
        <v>221</v>
      </c>
    </row>
    <row r="21" spans="1:16" x14ac:dyDescent="0.25">
      <c r="A21" s="9">
        <v>2012</v>
      </c>
      <c r="B21" s="9">
        <f>B20*(1+M7)</f>
        <v>102.9750524680894</v>
      </c>
      <c r="D21" s="75">
        <v>3.0904028577939613</v>
      </c>
    </row>
    <row r="22" spans="1:16" x14ac:dyDescent="0.25">
      <c r="A22" s="9">
        <v>2013</v>
      </c>
      <c r="B22" s="9">
        <f t="shared" ref="B22:B30" si="8">B21*(1+M8)</f>
        <v>108.92070172280783</v>
      </c>
      <c r="D22" s="75">
        <v>5.9761811966038803</v>
      </c>
    </row>
    <row r="23" spans="1:16" x14ac:dyDescent="0.25">
      <c r="A23" s="9">
        <v>2014</v>
      </c>
      <c r="B23" s="9">
        <f t="shared" si="8"/>
        <v>107.28547959282982</v>
      </c>
      <c r="D23" s="75">
        <v>-1.4844636689426038</v>
      </c>
    </row>
    <row r="24" spans="1:16" x14ac:dyDescent="0.25">
      <c r="A24" s="9">
        <v>2015</v>
      </c>
      <c r="B24" s="9">
        <f t="shared" si="8"/>
        <v>99.708363086006997</v>
      </c>
      <c r="D24" s="75">
        <v>-7.0202022081738207</v>
      </c>
    </row>
    <row r="25" spans="1:16" x14ac:dyDescent="0.25">
      <c r="A25" s="9">
        <v>2016</v>
      </c>
      <c r="B25" s="9">
        <f t="shared" si="8"/>
        <v>94.176936364566799</v>
      </c>
      <c r="D25" s="75">
        <v>-5.6950878504507196</v>
      </c>
    </row>
    <row r="26" spans="1:16" x14ac:dyDescent="0.25">
      <c r="A26" s="9">
        <v>2017</v>
      </c>
      <c r="B26" s="9">
        <f t="shared" si="8"/>
        <v>88.660356946222095</v>
      </c>
      <c r="D26" s="75">
        <v>-5.8090620695503308</v>
      </c>
    </row>
    <row r="27" spans="1:16" x14ac:dyDescent="0.25">
      <c r="A27" s="9">
        <v>2018</v>
      </c>
      <c r="B27" s="9">
        <f t="shared" si="8"/>
        <v>86.463983262110119</v>
      </c>
      <c r="D27" s="75">
        <v>-2.5406677020946455</v>
      </c>
    </row>
    <row r="28" spans="1:16" x14ac:dyDescent="0.25">
      <c r="A28" s="9">
        <v>2019</v>
      </c>
      <c r="B28" s="9">
        <f t="shared" si="8"/>
        <v>86.156474863135358</v>
      </c>
      <c r="D28" s="75">
        <v>-0.84834808717496601</v>
      </c>
    </row>
    <row r="29" spans="1:16" x14ac:dyDescent="0.25">
      <c r="A29" s="9">
        <v>2020</v>
      </c>
      <c r="B29" s="9">
        <f t="shared" si="8"/>
        <v>81.922247346300253</v>
      </c>
      <c r="D29" s="75">
        <v>-5.0232482378127603</v>
      </c>
    </row>
    <row r="30" spans="1:16" x14ac:dyDescent="0.25">
      <c r="A30" s="9">
        <v>2021</v>
      </c>
      <c r="B30" s="9">
        <f t="shared" si="8"/>
        <v>89.650542573998564</v>
      </c>
      <c r="D30" s="75">
        <v>9.5554290933056674</v>
      </c>
    </row>
    <row r="31" spans="1:16" x14ac:dyDescent="0.25">
      <c r="A31" s="9">
        <v>2022</v>
      </c>
    </row>
    <row r="32" spans="1:16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</sheetData>
  <mergeCells count="3">
    <mergeCell ref="I4:J4"/>
    <mergeCell ref="B4:G4"/>
    <mergeCell ref="L4:N4"/>
  </mergeCells>
  <phoneticPr fontId="32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5CB7-C04F-4DDA-859D-CB41EAF125FA}">
  <dimension ref="A1:K54"/>
  <sheetViews>
    <sheetView workbookViewId="0">
      <selection activeCell="G28" sqref="G28"/>
    </sheetView>
  </sheetViews>
  <sheetFormatPr defaultRowHeight="15" x14ac:dyDescent="0.25"/>
  <cols>
    <col min="1" max="1" width="11" bestFit="1" customWidth="1"/>
    <col min="2" max="2" width="11" customWidth="1"/>
    <col min="3" max="3" width="11.28515625" bestFit="1" customWidth="1"/>
    <col min="4" max="4" width="11.7109375" bestFit="1" customWidth="1"/>
    <col min="5" max="5" width="6.7109375" customWidth="1"/>
    <col min="6" max="6" width="13.28515625" bestFit="1" customWidth="1"/>
    <col min="8" max="8" width="10" bestFit="1" customWidth="1"/>
    <col min="9" max="9" width="12.7109375" bestFit="1" customWidth="1"/>
    <col min="10" max="11" width="25.7109375" bestFit="1" customWidth="1"/>
  </cols>
  <sheetData>
    <row r="1" spans="1:11" x14ac:dyDescent="0.25">
      <c r="A1" t="s">
        <v>53</v>
      </c>
      <c r="B1" t="s">
        <v>215</v>
      </c>
      <c r="C1" t="s">
        <v>7</v>
      </c>
      <c r="D1" t="s">
        <v>8</v>
      </c>
      <c r="E1" t="s">
        <v>9</v>
      </c>
      <c r="F1" t="s">
        <v>11</v>
      </c>
      <c r="H1" t="s">
        <v>10</v>
      </c>
      <c r="I1" t="s">
        <v>127</v>
      </c>
      <c r="J1" t="s">
        <v>12</v>
      </c>
      <c r="K1" t="s">
        <v>13</v>
      </c>
    </row>
    <row r="2" spans="1:11" x14ac:dyDescent="0.25">
      <c r="A2" s="63">
        <v>2012</v>
      </c>
      <c r="B2" s="63">
        <v>1</v>
      </c>
      <c r="C2">
        <v>5439</v>
      </c>
      <c r="D2">
        <v>307</v>
      </c>
      <c r="E2">
        <f>C2+D2</f>
        <v>5746</v>
      </c>
      <c r="F2" s="4">
        <f>C2/E2</f>
        <v>0.94657152801949185</v>
      </c>
      <c r="I2">
        <v>0.11453403511875802</v>
      </c>
    </row>
    <row r="3" spans="1:11" x14ac:dyDescent="0.25">
      <c r="A3" s="63">
        <v>2012</v>
      </c>
      <c r="B3" s="63">
        <v>2</v>
      </c>
      <c r="C3">
        <v>5515</v>
      </c>
      <c r="D3">
        <v>295</v>
      </c>
      <c r="E3">
        <f t="shared" ref="E3:E48" si="0">C3+D3</f>
        <v>5810</v>
      </c>
      <c r="F3" s="4">
        <f t="shared" ref="F3:F48" si="1">C3/E3</f>
        <v>0.94922547332185891</v>
      </c>
      <c r="G3" s="15">
        <f>F3-F2</f>
        <v>2.6539453023670667E-3</v>
      </c>
      <c r="H3" s="4">
        <f>(C3-C2)/C2</f>
        <v>1.3973156830299687E-2</v>
      </c>
      <c r="I3" s="4">
        <v>0.2677557316132651</v>
      </c>
      <c r="J3" s="17">
        <f>I3*H3</f>
        <v>3.7413928300437851E-3</v>
      </c>
      <c r="K3" s="17">
        <f>(1-I3)*H3</f>
        <v>1.0231764000255902E-2</v>
      </c>
    </row>
    <row r="4" spans="1:11" x14ac:dyDescent="0.25">
      <c r="A4" s="63">
        <v>2012</v>
      </c>
      <c r="B4" s="63">
        <v>3</v>
      </c>
      <c r="C4">
        <v>5509</v>
      </c>
      <c r="D4">
        <v>269</v>
      </c>
      <c r="E4">
        <f t="shared" si="0"/>
        <v>5778</v>
      </c>
      <c r="F4" s="4">
        <f t="shared" si="1"/>
        <v>0.95344409830391141</v>
      </c>
      <c r="G4" s="15">
        <f t="shared" ref="G4:G48" si="2">F4-F3</f>
        <v>4.218624982052499E-3</v>
      </c>
      <c r="H4" s="4">
        <f t="shared" ref="H4:H48" si="3">(C4-C3)/C3</f>
        <v>-1.0879419764279238E-3</v>
      </c>
      <c r="I4">
        <v>0.157254561251086</v>
      </c>
      <c r="J4" s="17">
        <f t="shared" ref="J4:J33" si="4">I4*H4</f>
        <v>-1.7108383816981252E-4</v>
      </c>
      <c r="K4" s="17">
        <f t="shared" ref="K4:K33" si="5">(1-I4)*H4</f>
        <v>-9.1685813825811123E-4</v>
      </c>
    </row>
    <row r="5" spans="1:11" x14ac:dyDescent="0.25">
      <c r="A5" s="63">
        <v>2012</v>
      </c>
      <c r="B5" s="63">
        <v>4</v>
      </c>
      <c r="C5">
        <v>5580</v>
      </c>
      <c r="D5">
        <v>256</v>
      </c>
      <c r="E5">
        <f t="shared" si="0"/>
        <v>5836</v>
      </c>
      <c r="F5" s="4">
        <f t="shared" si="1"/>
        <v>0.95613433858807406</v>
      </c>
      <c r="G5" s="15">
        <f t="shared" si="2"/>
        <v>2.6902402841626483E-3</v>
      </c>
      <c r="H5" s="4">
        <f t="shared" si="3"/>
        <v>1.2888001452169178E-2</v>
      </c>
      <c r="I5">
        <v>-1.3857664233576643</v>
      </c>
      <c r="J5" s="17">
        <f t="shared" si="4"/>
        <v>-1.7859759676600865E-2</v>
      </c>
      <c r="K5" s="17">
        <f t="shared" si="5"/>
        <v>3.0747761128770045E-2</v>
      </c>
    </row>
    <row r="6" spans="1:11" x14ac:dyDescent="0.25">
      <c r="A6" s="63">
        <v>2013</v>
      </c>
      <c r="B6" s="63">
        <v>1</v>
      </c>
      <c r="C6">
        <v>5593</v>
      </c>
      <c r="D6">
        <v>320</v>
      </c>
      <c r="E6">
        <f t="shared" si="0"/>
        <v>5913</v>
      </c>
      <c r="F6" s="4">
        <f t="shared" si="1"/>
        <v>0.94588195501437511</v>
      </c>
      <c r="G6" s="15">
        <f t="shared" si="2"/>
        <v>-1.0252383573698953E-2</v>
      </c>
      <c r="H6" s="4">
        <f t="shared" si="3"/>
        <v>2.3297491039426525E-3</v>
      </c>
      <c r="I6">
        <v>8.9044363173795521E-2</v>
      </c>
      <c r="J6" s="17">
        <f t="shared" si="4"/>
        <v>2.0745102531529426E-4</v>
      </c>
      <c r="K6" s="17">
        <f t="shared" si="5"/>
        <v>2.1222980786273584E-3</v>
      </c>
    </row>
    <row r="7" spans="1:11" x14ac:dyDescent="0.25">
      <c r="A7" s="63">
        <v>2013</v>
      </c>
      <c r="B7" s="63">
        <v>2</v>
      </c>
      <c r="C7">
        <v>5647</v>
      </c>
      <c r="D7">
        <v>274</v>
      </c>
      <c r="E7">
        <f t="shared" si="0"/>
        <v>5921</v>
      </c>
      <c r="F7" s="4">
        <f t="shared" si="1"/>
        <v>0.95372403310251652</v>
      </c>
      <c r="G7" s="15">
        <f t="shared" si="2"/>
        <v>7.8420780881414132E-3</v>
      </c>
      <c r="H7" s="4">
        <f t="shared" si="3"/>
        <v>9.6549258001072773E-3</v>
      </c>
      <c r="I7">
        <v>0.20512061565783632</v>
      </c>
      <c r="J7" s="17">
        <f t="shared" si="4"/>
        <v>1.9804243242487326E-3</v>
      </c>
      <c r="K7" s="17">
        <f t="shared" si="5"/>
        <v>7.6745014758585446E-3</v>
      </c>
    </row>
    <row r="8" spans="1:11" x14ac:dyDescent="0.25">
      <c r="A8" s="63">
        <v>2013</v>
      </c>
      <c r="B8" s="63">
        <v>3</v>
      </c>
      <c r="C8">
        <v>5680</v>
      </c>
      <c r="D8">
        <v>293</v>
      </c>
      <c r="E8">
        <f t="shared" si="0"/>
        <v>5973</v>
      </c>
      <c r="F8" s="4">
        <f t="shared" si="1"/>
        <v>0.95094592332161398</v>
      </c>
      <c r="G8" s="15">
        <f t="shared" si="2"/>
        <v>-2.7781097809025379E-3</v>
      </c>
      <c r="H8" s="4">
        <f t="shared" si="3"/>
        <v>5.8438108730299275E-3</v>
      </c>
      <c r="I8">
        <v>0.10417301248857752</v>
      </c>
      <c r="J8" s="17">
        <f t="shared" si="4"/>
        <v>6.087673830570317E-4</v>
      </c>
      <c r="K8" s="17">
        <f t="shared" si="5"/>
        <v>5.2350434899728956E-3</v>
      </c>
    </row>
    <row r="9" spans="1:11" x14ac:dyDescent="0.25">
      <c r="A9" s="63">
        <v>2013</v>
      </c>
      <c r="B9" s="63">
        <v>4</v>
      </c>
      <c r="C9">
        <v>5705</v>
      </c>
      <c r="D9">
        <v>283</v>
      </c>
      <c r="E9">
        <f t="shared" si="0"/>
        <v>5988</v>
      </c>
      <c r="F9" s="4">
        <f t="shared" si="1"/>
        <v>0.95273881095524382</v>
      </c>
      <c r="G9" s="15">
        <f t="shared" si="2"/>
        <v>1.7928876336298361E-3</v>
      </c>
      <c r="H9" s="4">
        <f t="shared" si="3"/>
        <v>4.4014084507042256E-3</v>
      </c>
      <c r="I9">
        <v>0.42212650192700069</v>
      </c>
      <c r="J9" s="17">
        <f t="shared" si="4"/>
        <v>1.8579511528477143E-3</v>
      </c>
      <c r="K9" s="17">
        <f t="shared" si="5"/>
        <v>2.5434572978565114E-3</v>
      </c>
    </row>
    <row r="10" spans="1:11" x14ac:dyDescent="0.25">
      <c r="A10" s="63">
        <v>2014</v>
      </c>
      <c r="B10" s="63">
        <v>1</v>
      </c>
      <c r="C10">
        <v>5634</v>
      </c>
      <c r="D10">
        <v>324</v>
      </c>
      <c r="E10">
        <f t="shared" si="0"/>
        <v>5958</v>
      </c>
      <c r="F10" s="4">
        <f t="shared" si="1"/>
        <v>0.94561933534743203</v>
      </c>
      <c r="G10" s="15">
        <f t="shared" si="2"/>
        <v>-7.1194756078117871E-3</v>
      </c>
      <c r="H10" s="4">
        <f t="shared" si="3"/>
        <v>-1.2445223488168273E-2</v>
      </c>
      <c r="I10">
        <v>0.13621087185900191</v>
      </c>
      <c r="J10" s="17">
        <f t="shared" si="4"/>
        <v>-1.6951747418035294E-3</v>
      </c>
      <c r="K10" s="17">
        <f t="shared" si="5"/>
        <v>-1.0750048746364744E-2</v>
      </c>
    </row>
    <row r="11" spans="1:11" x14ac:dyDescent="0.25">
      <c r="A11" s="63">
        <v>2014</v>
      </c>
      <c r="B11" s="63">
        <v>2</v>
      </c>
      <c r="C11">
        <v>5622</v>
      </c>
      <c r="D11">
        <v>298</v>
      </c>
      <c r="E11">
        <f t="shared" si="0"/>
        <v>5920</v>
      </c>
      <c r="F11" s="4">
        <f t="shared" si="1"/>
        <v>0.94966216216216215</v>
      </c>
      <c r="G11" s="15">
        <f t="shared" si="2"/>
        <v>4.0428268147301161E-3</v>
      </c>
      <c r="H11" s="4">
        <f t="shared" si="3"/>
        <v>-2.1299254526091589E-3</v>
      </c>
      <c r="I11">
        <v>2</v>
      </c>
      <c r="J11" s="17">
        <f t="shared" si="4"/>
        <v>-4.2598509052183178E-3</v>
      </c>
      <c r="K11" s="17">
        <f t="shared" si="5"/>
        <v>2.1299254526091589E-3</v>
      </c>
    </row>
    <row r="12" spans="1:11" x14ac:dyDescent="0.25">
      <c r="A12" s="63">
        <v>2014</v>
      </c>
      <c r="B12" s="63">
        <v>3</v>
      </c>
      <c r="C12">
        <v>5608</v>
      </c>
      <c r="D12">
        <v>315</v>
      </c>
      <c r="E12">
        <f t="shared" si="0"/>
        <v>5923</v>
      </c>
      <c r="F12" s="4">
        <f t="shared" si="1"/>
        <v>0.94681749113624847</v>
      </c>
      <c r="G12" s="15">
        <f t="shared" si="2"/>
        <v>-2.8446710259136809E-3</v>
      </c>
      <c r="H12" s="4">
        <f t="shared" si="3"/>
        <v>-2.4902170046246885E-3</v>
      </c>
      <c r="I12">
        <v>0.31751412429378534</v>
      </c>
      <c r="J12" s="17">
        <f t="shared" si="4"/>
        <v>-7.9067907152490121E-4</v>
      </c>
      <c r="K12" s="17">
        <f t="shared" si="5"/>
        <v>-1.6995379330997874E-3</v>
      </c>
    </row>
    <row r="13" spans="1:11" x14ac:dyDescent="0.25">
      <c r="A13" s="63">
        <v>2014</v>
      </c>
      <c r="B13" s="63">
        <v>4</v>
      </c>
      <c r="C13">
        <v>5656</v>
      </c>
      <c r="D13">
        <v>273</v>
      </c>
      <c r="E13">
        <f t="shared" si="0"/>
        <v>5929</v>
      </c>
      <c r="F13" s="4">
        <f t="shared" si="1"/>
        <v>0.95395513577331759</v>
      </c>
      <c r="G13" s="15">
        <f t="shared" si="2"/>
        <v>7.1376446370691182E-3</v>
      </c>
      <c r="H13" s="4">
        <f t="shared" si="3"/>
        <v>8.5592011412268191E-3</v>
      </c>
      <c r="I13">
        <v>0.26347938447080937</v>
      </c>
      <c r="J13" s="17">
        <f t="shared" si="4"/>
        <v>2.2551730482522916E-3</v>
      </c>
      <c r="K13" s="17">
        <f t="shared" si="5"/>
        <v>6.3040280929745271E-3</v>
      </c>
    </row>
    <row r="14" spans="1:11" x14ac:dyDescent="0.25">
      <c r="A14" s="63">
        <v>2015</v>
      </c>
      <c r="B14" s="63">
        <v>1</v>
      </c>
      <c r="C14">
        <v>5677</v>
      </c>
      <c r="D14">
        <v>350</v>
      </c>
      <c r="E14">
        <f t="shared" si="0"/>
        <v>6027</v>
      </c>
      <c r="F14" s="4">
        <f t="shared" si="1"/>
        <v>0.94192799070847855</v>
      </c>
      <c r="G14" s="15">
        <f t="shared" si="2"/>
        <v>-1.202714506483904E-2</v>
      </c>
      <c r="H14" s="4">
        <f t="shared" si="3"/>
        <v>3.7128712871287127E-3</v>
      </c>
      <c r="I14">
        <v>-4.3084254521307763E-2</v>
      </c>
      <c r="J14" s="17">
        <f t="shared" si="4"/>
        <v>-1.5996629153950903E-4</v>
      </c>
      <c r="K14" s="17">
        <f t="shared" si="5"/>
        <v>3.8728375786682215E-3</v>
      </c>
    </row>
    <row r="15" spans="1:11" x14ac:dyDescent="0.25">
      <c r="A15" s="63">
        <v>2015</v>
      </c>
      <c r="B15" s="63">
        <v>2</v>
      </c>
      <c r="C15">
        <v>5631</v>
      </c>
      <c r="D15">
        <v>363</v>
      </c>
      <c r="E15">
        <f t="shared" si="0"/>
        <v>5994</v>
      </c>
      <c r="F15" s="4">
        <f t="shared" si="1"/>
        <v>0.93943943943943942</v>
      </c>
      <c r="G15" s="15">
        <f t="shared" si="2"/>
        <v>-2.4885512690391298E-3</v>
      </c>
      <c r="H15" s="4">
        <f t="shared" si="3"/>
        <v>-8.1028712348071158E-3</v>
      </c>
      <c r="I15">
        <v>0.10748686514886165</v>
      </c>
      <c r="J15" s="17">
        <f t="shared" si="4"/>
        <v>-8.7095222773430248E-4</v>
      </c>
      <c r="K15" s="17">
        <f t="shared" si="5"/>
        <v>-7.2319190070728135E-3</v>
      </c>
    </row>
    <row r="16" spans="1:11" x14ac:dyDescent="0.25">
      <c r="A16" s="63">
        <v>2015</v>
      </c>
      <c r="B16" s="63">
        <v>3</v>
      </c>
      <c r="C16">
        <v>5575</v>
      </c>
      <c r="D16">
        <v>419</v>
      </c>
      <c r="E16">
        <f t="shared" si="0"/>
        <v>5994</v>
      </c>
      <c r="F16" s="4">
        <f t="shared" si="1"/>
        <v>0.93009676343009673</v>
      </c>
      <c r="G16" s="15">
        <f t="shared" si="2"/>
        <v>-9.3426760093426875E-3</v>
      </c>
      <c r="H16" s="4">
        <f t="shared" si="3"/>
        <v>-9.9449476114366903E-3</v>
      </c>
      <c r="I16">
        <v>7.6782162671412121E-2</v>
      </c>
      <c r="J16" s="17">
        <f t="shared" si="4"/>
        <v>-7.6359458526000336E-4</v>
      </c>
      <c r="K16" s="17">
        <f t="shared" si="5"/>
        <v>-9.1813530261766873E-3</v>
      </c>
    </row>
    <row r="17" spans="1:11" x14ac:dyDescent="0.25">
      <c r="A17" s="63">
        <v>2015</v>
      </c>
      <c r="B17" s="63">
        <v>4</v>
      </c>
      <c r="C17">
        <v>5700</v>
      </c>
      <c r="D17">
        <v>408</v>
      </c>
      <c r="E17">
        <f t="shared" si="0"/>
        <v>6108</v>
      </c>
      <c r="F17" s="4">
        <f t="shared" si="1"/>
        <v>0.93320235756385073</v>
      </c>
      <c r="G17" s="15">
        <f t="shared" si="2"/>
        <v>3.1055941337539972E-3</v>
      </c>
      <c r="H17" s="4">
        <f t="shared" si="3"/>
        <v>2.2421524663677129E-2</v>
      </c>
      <c r="I17">
        <v>0.13993257330435169</v>
      </c>
      <c r="J17" s="17">
        <f t="shared" si="4"/>
        <v>3.1375016435953289E-3</v>
      </c>
      <c r="K17" s="17">
        <f t="shared" si="5"/>
        <v>1.9284023020081798E-2</v>
      </c>
    </row>
    <row r="18" spans="1:11" x14ac:dyDescent="0.25">
      <c r="A18" s="63">
        <v>2016</v>
      </c>
      <c r="B18" s="63">
        <v>1</v>
      </c>
      <c r="C18">
        <v>5666</v>
      </c>
      <c r="D18">
        <v>465</v>
      </c>
      <c r="E18">
        <f t="shared" si="0"/>
        <v>6131</v>
      </c>
      <c r="F18" s="4">
        <f t="shared" si="1"/>
        <v>0.92415592888598919</v>
      </c>
      <c r="G18" s="15">
        <f t="shared" si="2"/>
        <v>-9.0464286778615399E-3</v>
      </c>
      <c r="H18" s="4">
        <f t="shared" si="3"/>
        <v>-5.9649122807017545E-3</v>
      </c>
      <c r="I18">
        <v>-1.0780707132638463E-2</v>
      </c>
      <c r="J18" s="17">
        <f t="shared" si="4"/>
        <v>6.4305972370124173E-5</v>
      </c>
      <c r="K18" s="17">
        <f t="shared" si="5"/>
        <v>-6.0292182530718788E-3</v>
      </c>
    </row>
    <row r="19" spans="1:11" x14ac:dyDescent="0.25">
      <c r="A19" s="63">
        <v>2016</v>
      </c>
      <c r="B19" s="63">
        <v>2</v>
      </c>
      <c r="C19">
        <v>5558</v>
      </c>
      <c r="D19">
        <v>544</v>
      </c>
      <c r="E19">
        <f t="shared" si="0"/>
        <v>6102</v>
      </c>
      <c r="F19" s="4">
        <f t="shared" si="1"/>
        <v>0.91084890199934443</v>
      </c>
      <c r="G19" s="15">
        <f t="shared" si="2"/>
        <v>-1.3307026886644757E-2</v>
      </c>
      <c r="H19" s="4">
        <f t="shared" si="3"/>
        <v>-1.906106600776562E-2</v>
      </c>
      <c r="I19">
        <v>3.3829122731067751E-2</v>
      </c>
      <c r="J19" s="17">
        <f t="shared" si="4"/>
        <v>-6.4481914136168671E-4</v>
      </c>
      <c r="K19" s="17">
        <f t="shared" si="5"/>
        <v>-1.8416246866403932E-2</v>
      </c>
    </row>
    <row r="20" spans="1:11" x14ac:dyDescent="0.25">
      <c r="A20" s="63">
        <v>2016</v>
      </c>
      <c r="B20" s="63">
        <v>3</v>
      </c>
      <c r="C20">
        <v>5586</v>
      </c>
      <c r="D20">
        <v>511</v>
      </c>
      <c r="E20">
        <f t="shared" si="0"/>
        <v>6097</v>
      </c>
      <c r="F20" s="4">
        <f t="shared" si="1"/>
        <v>0.91618828932261764</v>
      </c>
      <c r="G20" s="15">
        <f t="shared" si="2"/>
        <v>5.3393873232732147E-3</v>
      </c>
      <c r="H20" s="4">
        <f t="shared" si="3"/>
        <v>5.0377833753148613E-3</v>
      </c>
      <c r="I20">
        <v>0.19571182438899878</v>
      </c>
      <c r="J20" s="17">
        <f t="shared" si="4"/>
        <v>9.8595377525943968E-4</v>
      </c>
      <c r="K20" s="17">
        <f t="shared" si="5"/>
        <v>4.0518296000554219E-3</v>
      </c>
    </row>
    <row r="21" spans="1:11" x14ac:dyDescent="0.25">
      <c r="A21" s="63">
        <v>2016</v>
      </c>
      <c r="B21" s="63">
        <v>4</v>
      </c>
      <c r="C21">
        <v>5600</v>
      </c>
      <c r="D21">
        <v>515</v>
      </c>
      <c r="E21">
        <f t="shared" si="0"/>
        <v>6115</v>
      </c>
      <c r="F21" s="4">
        <f t="shared" si="1"/>
        <v>0.91578086672117742</v>
      </c>
      <c r="G21" s="15">
        <f t="shared" si="2"/>
        <v>-4.0742260144022158E-4</v>
      </c>
      <c r="H21" s="4">
        <f t="shared" si="3"/>
        <v>2.5062656641604009E-3</v>
      </c>
      <c r="I21">
        <v>0.23652395962175318</v>
      </c>
      <c r="J21" s="17">
        <f t="shared" si="4"/>
        <v>5.9279187875126106E-4</v>
      </c>
      <c r="K21" s="17">
        <f t="shared" si="5"/>
        <v>1.9134737854091398E-3</v>
      </c>
    </row>
    <row r="22" spans="1:11" x14ac:dyDescent="0.25">
      <c r="A22" s="63">
        <v>2017</v>
      </c>
      <c r="B22" s="63">
        <v>1</v>
      </c>
      <c r="C22">
        <v>5580</v>
      </c>
      <c r="D22">
        <v>570</v>
      </c>
      <c r="E22">
        <f t="shared" si="0"/>
        <v>6150</v>
      </c>
      <c r="F22" s="4">
        <f t="shared" si="1"/>
        <v>0.90731707317073174</v>
      </c>
      <c r="G22" s="15">
        <f t="shared" si="2"/>
        <v>-8.4637935504456863E-3</v>
      </c>
      <c r="H22" s="4">
        <f t="shared" si="3"/>
        <v>-3.5714285714285713E-3</v>
      </c>
      <c r="I22">
        <v>1.4716270308453025E-2</v>
      </c>
      <c r="J22" s="17">
        <f t="shared" si="4"/>
        <v>-5.255810824447509E-5</v>
      </c>
      <c r="K22" s="17">
        <f t="shared" si="5"/>
        <v>-3.5188704631840964E-3</v>
      </c>
    </row>
    <row r="23" spans="1:11" x14ac:dyDescent="0.25">
      <c r="A23" s="63">
        <v>2017</v>
      </c>
      <c r="B23" s="63">
        <v>2</v>
      </c>
      <c r="C23">
        <v>5589</v>
      </c>
      <c r="D23">
        <v>524</v>
      </c>
      <c r="E23">
        <f t="shared" si="0"/>
        <v>6113</v>
      </c>
      <c r="F23" s="4">
        <f t="shared" si="1"/>
        <v>0.9142810404056928</v>
      </c>
      <c r="G23" s="15">
        <f t="shared" si="2"/>
        <v>6.963967234961066E-3</v>
      </c>
      <c r="H23" s="4">
        <f t="shared" si="3"/>
        <v>1.6129032258064516E-3</v>
      </c>
      <c r="I23">
        <v>4.6100731112916328E-2</v>
      </c>
      <c r="J23" s="17">
        <f t="shared" si="4"/>
        <v>7.435601792405859E-5</v>
      </c>
      <c r="K23" s="17">
        <f t="shared" si="5"/>
        <v>1.5385472078823931E-3</v>
      </c>
    </row>
    <row r="24" spans="1:11" x14ac:dyDescent="0.25">
      <c r="A24" s="63">
        <v>2017</v>
      </c>
      <c r="B24" s="63">
        <v>3</v>
      </c>
      <c r="C24">
        <v>5628</v>
      </c>
      <c r="D24">
        <v>501</v>
      </c>
      <c r="E24">
        <f t="shared" si="0"/>
        <v>6129</v>
      </c>
      <c r="F24" s="4">
        <f t="shared" si="1"/>
        <v>0.91825746451297108</v>
      </c>
      <c r="G24" s="15">
        <f t="shared" si="2"/>
        <v>3.9764241072782758E-3</v>
      </c>
      <c r="H24" s="4">
        <f t="shared" si="3"/>
        <v>6.9779924852388618E-3</v>
      </c>
      <c r="I24">
        <v>-0.87105380168963986</v>
      </c>
      <c r="J24" s="17">
        <f t="shared" si="4"/>
        <v>-6.0782068824290492E-3</v>
      </c>
      <c r="K24" s="17">
        <f t="shared" si="5"/>
        <v>1.3056199367667911E-2</v>
      </c>
    </row>
    <row r="25" spans="1:11" x14ac:dyDescent="0.25">
      <c r="A25" s="63">
        <v>2017</v>
      </c>
      <c r="B25" s="63">
        <v>4</v>
      </c>
      <c r="C25">
        <v>5642</v>
      </c>
      <c r="D25">
        <v>496</v>
      </c>
      <c r="E25">
        <f t="shared" si="0"/>
        <v>6138</v>
      </c>
      <c r="F25" s="4">
        <f t="shared" si="1"/>
        <v>0.91919191919191923</v>
      </c>
      <c r="G25" s="15">
        <f t="shared" si="2"/>
        <v>9.3445467894814893E-4</v>
      </c>
      <c r="H25" s="4">
        <f t="shared" si="3"/>
        <v>2.4875621890547263E-3</v>
      </c>
      <c r="I25">
        <v>0.62563580874872837</v>
      </c>
      <c r="J25" s="17">
        <f t="shared" si="4"/>
        <v>1.5563079819620109E-3</v>
      </c>
      <c r="K25" s="17">
        <f t="shared" si="5"/>
        <v>9.3125420709271544E-4</v>
      </c>
    </row>
    <row r="26" spans="1:11" x14ac:dyDescent="0.25">
      <c r="A26" s="63">
        <v>2018</v>
      </c>
      <c r="B26" s="63">
        <v>1</v>
      </c>
      <c r="C26">
        <v>5536</v>
      </c>
      <c r="D26">
        <v>520</v>
      </c>
      <c r="E26">
        <f t="shared" si="0"/>
        <v>6056</v>
      </c>
      <c r="F26" s="4">
        <f t="shared" si="1"/>
        <v>0.91413474240422721</v>
      </c>
      <c r="G26" s="15">
        <f t="shared" si="2"/>
        <v>-5.0571767876920193E-3</v>
      </c>
      <c r="H26" s="4">
        <f t="shared" si="3"/>
        <v>-1.8787663948954272E-2</v>
      </c>
      <c r="I26">
        <v>9.0945593254366588E-2</v>
      </c>
      <c r="J26" s="17">
        <f t="shared" si="4"/>
        <v>-1.708655243701322E-3</v>
      </c>
      <c r="K26" s="17">
        <f t="shared" si="5"/>
        <v>-1.7079008705252949E-2</v>
      </c>
    </row>
    <row r="27" spans="1:11" x14ac:dyDescent="0.25">
      <c r="A27" s="63">
        <v>2018</v>
      </c>
      <c r="B27" s="63">
        <v>2</v>
      </c>
      <c r="C27">
        <v>5500</v>
      </c>
      <c r="D27">
        <v>507</v>
      </c>
      <c r="E27">
        <f t="shared" si="0"/>
        <v>6007</v>
      </c>
      <c r="F27" s="4">
        <f t="shared" si="1"/>
        <v>0.91559846845347093</v>
      </c>
      <c r="G27" s="15">
        <f t="shared" si="2"/>
        <v>1.4637260492437187E-3</v>
      </c>
      <c r="H27" s="4">
        <f t="shared" si="3"/>
        <v>-6.5028901734104048E-3</v>
      </c>
      <c r="I27">
        <v>1.9194073408912337E-2</v>
      </c>
      <c r="J27" s="17">
        <f t="shared" si="4"/>
        <v>-1.2481695135853398E-4</v>
      </c>
      <c r="K27" s="17">
        <f t="shared" si="5"/>
        <v>-6.3780732220518705E-3</v>
      </c>
    </row>
    <row r="28" spans="1:11" x14ac:dyDescent="0.25">
      <c r="A28" s="63">
        <v>2018</v>
      </c>
      <c r="B28" s="63">
        <v>3</v>
      </c>
      <c r="C28">
        <v>5533</v>
      </c>
      <c r="D28">
        <v>499</v>
      </c>
      <c r="E28">
        <f t="shared" si="0"/>
        <v>6032</v>
      </c>
      <c r="F28" s="4">
        <f t="shared" si="1"/>
        <v>0.91727453580901852</v>
      </c>
      <c r="G28" s="15">
        <f t="shared" si="2"/>
        <v>1.6760673555475947E-3</v>
      </c>
      <c r="H28" s="4">
        <f t="shared" si="3"/>
        <v>6.0000000000000001E-3</v>
      </c>
      <c r="I28">
        <v>0.10125980508676016</v>
      </c>
      <c r="J28" s="17">
        <f t="shared" si="4"/>
        <v>6.0755883052056097E-4</v>
      </c>
      <c r="K28" s="17">
        <f t="shared" si="5"/>
        <v>5.3924411694794396E-3</v>
      </c>
    </row>
    <row r="29" spans="1:11" x14ac:dyDescent="0.25">
      <c r="A29" s="63">
        <v>2018</v>
      </c>
      <c r="B29" s="63">
        <v>4</v>
      </c>
      <c r="C29">
        <v>5664</v>
      </c>
      <c r="D29">
        <v>458</v>
      </c>
      <c r="E29">
        <f t="shared" si="0"/>
        <v>6122</v>
      </c>
      <c r="F29" s="4">
        <f t="shared" si="1"/>
        <v>0.92518784710878799</v>
      </c>
      <c r="G29" s="15">
        <f t="shared" si="2"/>
        <v>7.9133112997694655E-3</v>
      </c>
      <c r="H29" s="4">
        <f t="shared" si="3"/>
        <v>2.3676125067775167E-2</v>
      </c>
      <c r="I29">
        <v>0.82555604012211081</v>
      </c>
      <c r="J29" s="17">
        <f t="shared" si="4"/>
        <v>1.9545968056388308E-2</v>
      </c>
      <c r="K29" s="17">
        <f t="shared" si="5"/>
        <v>4.1301570113868574E-3</v>
      </c>
    </row>
    <row r="30" spans="1:11" x14ac:dyDescent="0.25">
      <c r="A30" s="63">
        <v>2019</v>
      </c>
      <c r="B30" s="63">
        <v>1</v>
      </c>
      <c r="C30">
        <v>5668</v>
      </c>
      <c r="D30">
        <v>496</v>
      </c>
      <c r="E30">
        <f t="shared" si="0"/>
        <v>6164</v>
      </c>
      <c r="F30" s="4">
        <f t="shared" si="1"/>
        <v>0.91953277092796881</v>
      </c>
      <c r="G30" s="15">
        <f t="shared" si="2"/>
        <v>-5.6550761808191741E-3</v>
      </c>
      <c r="H30" s="4">
        <f t="shared" si="3"/>
        <v>7.0621468926553672E-4</v>
      </c>
      <c r="I30">
        <v>-1.8136539719273533E-2</v>
      </c>
      <c r="J30" s="17">
        <f t="shared" si="4"/>
        <v>-1.2808290762198823E-5</v>
      </c>
      <c r="K30" s="17">
        <f t="shared" si="5"/>
        <v>7.1902298002773544E-4</v>
      </c>
    </row>
    <row r="31" spans="1:11" x14ac:dyDescent="0.25">
      <c r="A31" s="63">
        <v>2019</v>
      </c>
      <c r="B31" s="63">
        <v>2</v>
      </c>
      <c r="C31">
        <v>5714</v>
      </c>
      <c r="D31">
        <v>515</v>
      </c>
      <c r="E31">
        <f t="shared" si="0"/>
        <v>6229</v>
      </c>
      <c r="F31" s="4">
        <f t="shared" si="1"/>
        <v>0.91732220260073849</v>
      </c>
      <c r="G31" s="15">
        <f t="shared" si="2"/>
        <v>-2.2105683272303223E-3</v>
      </c>
      <c r="H31" s="4">
        <f t="shared" si="3"/>
        <v>8.1157374735356391E-3</v>
      </c>
      <c r="I31">
        <v>5.825407608695652E-2</v>
      </c>
      <c r="J31" s="17">
        <f t="shared" si="4"/>
        <v>4.7277478828510941E-4</v>
      </c>
      <c r="K31" s="17">
        <f t="shared" si="5"/>
        <v>7.6429626852505296E-3</v>
      </c>
    </row>
    <row r="32" spans="1:11" x14ac:dyDescent="0.25">
      <c r="A32" s="63">
        <v>2019</v>
      </c>
      <c r="B32" s="63">
        <v>3</v>
      </c>
      <c r="C32">
        <v>5657</v>
      </c>
      <c r="D32">
        <v>555</v>
      </c>
      <c r="E32">
        <f t="shared" si="0"/>
        <v>6212</v>
      </c>
      <c r="F32" s="4">
        <f t="shared" si="1"/>
        <v>0.91065679330328397</v>
      </c>
      <c r="G32" s="15">
        <f t="shared" si="2"/>
        <v>-6.6654092974545165E-3</v>
      </c>
      <c r="H32" s="4">
        <f t="shared" si="3"/>
        <v>-9.9754987749387462E-3</v>
      </c>
      <c r="I32">
        <v>-4.1594880630076297E-2</v>
      </c>
      <c r="J32" s="17">
        <f t="shared" si="4"/>
        <v>4.149296807690495E-4</v>
      </c>
      <c r="K32" s="17">
        <f t="shared" si="5"/>
        <v>-1.0390428455707796E-2</v>
      </c>
    </row>
    <row r="33" spans="1:11" x14ac:dyDescent="0.25">
      <c r="A33" s="63">
        <v>2019</v>
      </c>
      <c r="B33" s="63">
        <v>4</v>
      </c>
      <c r="C33">
        <v>5819</v>
      </c>
      <c r="D33">
        <v>455</v>
      </c>
      <c r="E33">
        <f t="shared" si="0"/>
        <v>6274</v>
      </c>
      <c r="F33" s="4">
        <f t="shared" si="1"/>
        <v>0.9274784826267134</v>
      </c>
      <c r="G33" s="15">
        <f t="shared" si="2"/>
        <v>1.6821689323429423E-2</v>
      </c>
      <c r="H33" s="4">
        <f t="shared" si="3"/>
        <v>2.863708679512109E-2</v>
      </c>
      <c r="I33">
        <v>-0.83326385994164232</v>
      </c>
      <c r="J33" s="17">
        <f t="shared" si="4"/>
        <v>-2.3862249480386434E-2</v>
      </c>
      <c r="K33" s="17">
        <f t="shared" si="5"/>
        <v>5.2499336275507527E-2</v>
      </c>
    </row>
    <row r="34" spans="1:11" x14ac:dyDescent="0.25">
      <c r="A34" s="63">
        <v>2020</v>
      </c>
      <c r="B34" s="63">
        <v>1</v>
      </c>
      <c r="C34">
        <v>5668</v>
      </c>
      <c r="D34">
        <v>529</v>
      </c>
      <c r="E34">
        <f t="shared" si="0"/>
        <v>6197</v>
      </c>
      <c r="F34" s="4">
        <f t="shared" si="1"/>
        <v>0.91463611424883007</v>
      </c>
      <c r="G34" s="15">
        <f t="shared" si="2"/>
        <v>-1.2842368377883329E-2</v>
      </c>
      <c r="H34" s="4">
        <f t="shared" si="3"/>
        <v>-2.5949475854957896E-2</v>
      </c>
      <c r="J34" s="17"/>
      <c r="K34" s="17"/>
    </row>
    <row r="35" spans="1:11" x14ac:dyDescent="0.25">
      <c r="A35" s="63">
        <v>2020</v>
      </c>
      <c r="B35" s="63">
        <v>2</v>
      </c>
      <c r="C35">
        <v>5244</v>
      </c>
      <c r="D35">
        <v>562</v>
      </c>
      <c r="E35">
        <f t="shared" si="0"/>
        <v>5806</v>
      </c>
      <c r="F35" s="4">
        <f t="shared" si="1"/>
        <v>0.90320358250086119</v>
      </c>
      <c r="G35" s="15">
        <f t="shared" si="2"/>
        <v>-1.1432531747968877E-2</v>
      </c>
      <c r="H35" s="4">
        <f t="shared" si="3"/>
        <v>-7.4805928016937195E-2</v>
      </c>
      <c r="J35" s="17"/>
      <c r="K35" s="17"/>
    </row>
    <row r="36" spans="1:11" x14ac:dyDescent="0.25">
      <c r="A36" s="63">
        <v>2020</v>
      </c>
      <c r="B36" s="63">
        <v>3</v>
      </c>
      <c r="C36">
        <v>5111</v>
      </c>
      <c r="D36">
        <v>601</v>
      </c>
      <c r="E36">
        <f t="shared" si="0"/>
        <v>5712</v>
      </c>
      <c r="F36" s="4">
        <f t="shared" si="1"/>
        <v>0.89478291316526615</v>
      </c>
      <c r="G36" s="15">
        <f t="shared" si="2"/>
        <v>-8.4206693355950435E-3</v>
      </c>
      <c r="H36" s="4">
        <f t="shared" si="3"/>
        <v>-2.5362318840579712E-2</v>
      </c>
      <c r="J36" s="17"/>
      <c r="K36" s="17"/>
    </row>
    <row r="37" spans="1:11" x14ac:dyDescent="0.25">
      <c r="A37" s="63">
        <v>2020</v>
      </c>
      <c r="B37" s="63">
        <v>4</v>
      </c>
      <c r="C37">
        <v>5356</v>
      </c>
      <c r="D37">
        <v>507</v>
      </c>
      <c r="E37">
        <f t="shared" si="0"/>
        <v>5863</v>
      </c>
      <c r="F37" s="4">
        <f t="shared" si="1"/>
        <v>0.91352549889135259</v>
      </c>
      <c r="G37" s="15">
        <f t="shared" si="2"/>
        <v>1.8742585726086447E-2</v>
      </c>
      <c r="H37" s="4">
        <f t="shared" si="3"/>
        <v>4.7935824691841128E-2</v>
      </c>
      <c r="J37" s="17"/>
      <c r="K37" s="17"/>
    </row>
    <row r="38" spans="1:11" x14ac:dyDescent="0.25">
      <c r="A38" s="63">
        <v>2021</v>
      </c>
      <c r="B38" s="63">
        <v>1</v>
      </c>
      <c r="C38">
        <v>5359</v>
      </c>
      <c r="D38">
        <v>566</v>
      </c>
      <c r="E38">
        <f t="shared" si="0"/>
        <v>5925</v>
      </c>
      <c r="F38" s="4">
        <f t="shared" si="1"/>
        <v>0.9044725738396624</v>
      </c>
      <c r="G38" s="15">
        <f t="shared" si="2"/>
        <v>-9.0529250516901971E-3</v>
      </c>
      <c r="H38" s="4">
        <f t="shared" si="3"/>
        <v>5.6011949215832709E-4</v>
      </c>
      <c r="J38" s="17"/>
      <c r="K38" s="17"/>
    </row>
    <row r="39" spans="1:11" x14ac:dyDescent="0.25">
      <c r="A39" s="63">
        <v>2021</v>
      </c>
      <c r="B39" s="63">
        <v>2</v>
      </c>
      <c r="C39">
        <v>5490</v>
      </c>
      <c r="D39">
        <v>533</v>
      </c>
      <c r="E39">
        <f t="shared" si="0"/>
        <v>6023</v>
      </c>
      <c r="F39" s="4">
        <f t="shared" si="1"/>
        <v>0.9115058940727212</v>
      </c>
      <c r="G39" s="15">
        <f t="shared" si="2"/>
        <v>7.033320233058804E-3</v>
      </c>
      <c r="H39" s="4">
        <f t="shared" si="3"/>
        <v>2.4444859115506624E-2</v>
      </c>
      <c r="J39" s="17"/>
      <c r="K39" s="17"/>
    </row>
    <row r="40" spans="1:11" x14ac:dyDescent="0.25">
      <c r="A40" s="63">
        <v>2021</v>
      </c>
      <c r="B40" s="63">
        <v>3</v>
      </c>
      <c r="C40">
        <v>5573</v>
      </c>
      <c r="D40">
        <v>512</v>
      </c>
      <c r="E40">
        <f t="shared" si="0"/>
        <v>6085</v>
      </c>
      <c r="F40" s="4">
        <f t="shared" si="1"/>
        <v>0.91585866885784717</v>
      </c>
      <c r="G40" s="15">
        <f t="shared" si="2"/>
        <v>4.3527747851259679E-3</v>
      </c>
      <c r="H40" s="4">
        <f t="shared" si="3"/>
        <v>1.51183970856102E-2</v>
      </c>
      <c r="J40" s="17"/>
      <c r="K40" s="17"/>
    </row>
    <row r="41" spans="1:11" x14ac:dyDescent="0.25">
      <c r="A41" s="63">
        <v>2021</v>
      </c>
      <c r="B41" s="63">
        <v>4</v>
      </c>
      <c r="C41">
        <v>5673</v>
      </c>
      <c r="D41">
        <v>500</v>
      </c>
      <c r="E41">
        <f t="shared" si="0"/>
        <v>6173</v>
      </c>
      <c r="F41" s="4">
        <f t="shared" si="1"/>
        <v>0.91900210594524545</v>
      </c>
      <c r="G41" s="15">
        <f t="shared" si="2"/>
        <v>3.143437087398282E-3</v>
      </c>
      <c r="H41" s="4">
        <f t="shared" si="3"/>
        <v>1.7943656917279741E-2</v>
      </c>
      <c r="J41" s="17"/>
      <c r="K41" s="17"/>
    </row>
    <row r="42" spans="1:11" x14ac:dyDescent="0.25">
      <c r="A42" s="63">
        <v>2022</v>
      </c>
      <c r="B42" s="63">
        <v>1</v>
      </c>
      <c r="C42">
        <v>5740</v>
      </c>
      <c r="D42">
        <v>463</v>
      </c>
      <c r="E42">
        <f t="shared" si="0"/>
        <v>6203</v>
      </c>
      <c r="F42" s="4">
        <f t="shared" si="1"/>
        <v>0.92535869740448173</v>
      </c>
      <c r="G42" s="15">
        <f t="shared" si="2"/>
        <v>6.3565914592362827E-3</v>
      </c>
      <c r="H42" s="4">
        <f t="shared" si="3"/>
        <v>1.1810329631588226E-2</v>
      </c>
      <c r="J42" s="17"/>
      <c r="K42" s="17"/>
    </row>
    <row r="43" spans="1:11" x14ac:dyDescent="0.25">
      <c r="A43" s="63">
        <v>2022</v>
      </c>
      <c r="B43" s="63">
        <v>2</v>
      </c>
      <c r="C43">
        <v>5795</v>
      </c>
      <c r="D43">
        <v>387</v>
      </c>
      <c r="E43">
        <f t="shared" si="0"/>
        <v>6182</v>
      </c>
      <c r="F43" s="4">
        <f t="shared" si="1"/>
        <v>0.93739890003235204</v>
      </c>
      <c r="G43" s="15">
        <f t="shared" si="2"/>
        <v>1.2040202627870311E-2</v>
      </c>
      <c r="H43" s="4">
        <f t="shared" si="3"/>
        <v>9.5818815331010446E-3</v>
      </c>
      <c r="J43" s="17"/>
      <c r="K43" s="17"/>
    </row>
    <row r="44" spans="1:11" x14ac:dyDescent="0.25">
      <c r="A44" s="63">
        <v>2022</v>
      </c>
      <c r="B44" s="63">
        <v>3</v>
      </c>
      <c r="C44">
        <v>5885</v>
      </c>
      <c r="D44">
        <v>376</v>
      </c>
      <c r="E44">
        <f t="shared" si="0"/>
        <v>6261</v>
      </c>
      <c r="F44" s="4">
        <f t="shared" si="1"/>
        <v>0.93994569557578667</v>
      </c>
      <c r="G44" s="15">
        <f t="shared" si="2"/>
        <v>2.5467955434346212E-3</v>
      </c>
      <c r="H44" s="4">
        <f t="shared" si="3"/>
        <v>1.5530629853321829E-2</v>
      </c>
      <c r="J44" s="17"/>
      <c r="K44" s="17"/>
    </row>
    <row r="45" spans="1:11" x14ac:dyDescent="0.25">
      <c r="A45" s="63">
        <v>2022</v>
      </c>
      <c r="B45" s="63">
        <v>4</v>
      </c>
      <c r="C45">
        <v>5951</v>
      </c>
      <c r="D45">
        <v>289</v>
      </c>
      <c r="E45">
        <f t="shared" si="0"/>
        <v>6240</v>
      </c>
      <c r="F45" s="4">
        <f t="shared" si="1"/>
        <v>0.95368589743589749</v>
      </c>
      <c r="G45" s="15">
        <f t="shared" si="2"/>
        <v>1.3740201860110823E-2</v>
      </c>
      <c r="H45" s="4">
        <f t="shared" si="3"/>
        <v>1.1214953271028037E-2</v>
      </c>
      <c r="J45" s="17"/>
      <c r="K45" s="17"/>
    </row>
    <row r="46" spans="1:11" x14ac:dyDescent="0.25">
      <c r="A46" s="63">
        <v>2023</v>
      </c>
      <c r="B46" s="63">
        <v>1</v>
      </c>
      <c r="C46">
        <v>5925</v>
      </c>
      <c r="D46">
        <v>337</v>
      </c>
      <c r="E46">
        <f t="shared" si="0"/>
        <v>6262</v>
      </c>
      <c r="F46" s="4">
        <f t="shared" si="1"/>
        <v>0.94618332801022043</v>
      </c>
      <c r="G46" s="15">
        <f t="shared" si="2"/>
        <v>-7.5025694256770636E-3</v>
      </c>
      <c r="H46" s="4">
        <f t="shared" si="3"/>
        <v>-4.369013611157789E-3</v>
      </c>
      <c r="J46" s="17"/>
      <c r="K46" s="17"/>
    </row>
    <row r="47" spans="1:11" x14ac:dyDescent="0.25">
      <c r="A47" s="63">
        <v>2023</v>
      </c>
      <c r="B47" s="63">
        <v>2</v>
      </c>
      <c r="C47">
        <v>5941</v>
      </c>
      <c r="D47">
        <v>330</v>
      </c>
      <c r="E47">
        <f t="shared" si="0"/>
        <v>6271</v>
      </c>
      <c r="F47" s="4">
        <f t="shared" si="1"/>
        <v>0.94737681390527828</v>
      </c>
      <c r="G47" s="15">
        <f t="shared" si="2"/>
        <v>1.1934858950578553E-3</v>
      </c>
      <c r="H47" s="4">
        <f t="shared" si="3"/>
        <v>2.7004219409282699E-3</v>
      </c>
      <c r="J47" s="17"/>
      <c r="K47" s="17"/>
    </row>
    <row r="48" spans="1:11" x14ac:dyDescent="0.25">
      <c r="A48" s="63">
        <v>2023</v>
      </c>
      <c r="B48" s="63">
        <v>3</v>
      </c>
      <c r="C48">
        <v>5843</v>
      </c>
      <c r="D48">
        <v>331</v>
      </c>
      <c r="E48">
        <f t="shared" si="0"/>
        <v>6174</v>
      </c>
      <c r="F48" s="4">
        <f t="shared" si="1"/>
        <v>0.94638807904114031</v>
      </c>
      <c r="G48" s="15">
        <f t="shared" si="2"/>
        <v>-9.8873486413797451E-4</v>
      </c>
      <c r="H48" s="4">
        <f t="shared" si="3"/>
        <v>-1.649553947146945E-2</v>
      </c>
      <c r="J48" s="17"/>
      <c r="K48" s="17"/>
    </row>
    <row r="50" spans="1:3" x14ac:dyDescent="0.25">
      <c r="B50" t="s">
        <v>235</v>
      </c>
      <c r="C50" t="s">
        <v>236</v>
      </c>
    </row>
    <row r="51" spans="1:3" x14ac:dyDescent="0.25">
      <c r="A51" s="63">
        <v>2020</v>
      </c>
      <c r="B51">
        <v>-696</v>
      </c>
      <c r="C51" s="24">
        <v>-41441</v>
      </c>
    </row>
    <row r="52" spans="1:3" x14ac:dyDescent="0.25">
      <c r="A52" s="63">
        <v>2021</v>
      </c>
      <c r="B52">
        <v>5251</v>
      </c>
      <c r="C52" s="24">
        <v>144463</v>
      </c>
    </row>
    <row r="53" spans="1:3" x14ac:dyDescent="0.25">
      <c r="A53" s="63">
        <v>2022</v>
      </c>
      <c r="B53">
        <v>6822</v>
      </c>
      <c r="C53" s="24">
        <v>99953</v>
      </c>
    </row>
    <row r="54" spans="1:3" x14ac:dyDescent="0.25">
      <c r="A54" s="63">
        <v>2023</v>
      </c>
      <c r="B54">
        <v>-1596</v>
      </c>
      <c r="C54" s="24">
        <v>46788</v>
      </c>
    </row>
  </sheetData>
  <phoneticPr fontId="32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A1B6-0372-4A81-B740-224BB6A803A9}">
  <dimension ref="A1:I83"/>
  <sheetViews>
    <sheetView workbookViewId="0">
      <selection activeCell="E8" sqref="E8"/>
    </sheetView>
  </sheetViews>
  <sheetFormatPr defaultRowHeight="15" x14ac:dyDescent="0.25"/>
  <cols>
    <col min="1" max="1" width="7.7109375" bestFit="1" customWidth="1"/>
    <col min="2" max="2" width="63" bestFit="1" customWidth="1"/>
    <col min="5" max="5" width="18.42578125" bestFit="1" customWidth="1"/>
    <col min="6" max="6" width="11.28515625" bestFit="1" customWidth="1"/>
    <col min="9" max="9" width="9.28515625" bestFit="1" customWidth="1"/>
  </cols>
  <sheetData>
    <row r="1" spans="1:9" x14ac:dyDescent="0.25">
      <c r="A1" s="119" t="s">
        <v>210</v>
      </c>
      <c r="B1" s="119"/>
      <c r="C1" s="119"/>
      <c r="D1" s="57"/>
      <c r="E1" s="57" t="s">
        <v>214</v>
      </c>
      <c r="F1" s="56">
        <v>4252.7189263158007</v>
      </c>
      <c r="G1">
        <v>400</v>
      </c>
    </row>
    <row r="2" spans="1:9" x14ac:dyDescent="0.25">
      <c r="A2" s="57" t="s">
        <v>2</v>
      </c>
      <c r="B2" s="57" t="s">
        <v>212</v>
      </c>
      <c r="C2" s="57" t="s">
        <v>211</v>
      </c>
      <c r="D2" s="57"/>
      <c r="F2" s="57" t="s">
        <v>213</v>
      </c>
    </row>
    <row r="3" spans="1:9" x14ac:dyDescent="0.25">
      <c r="A3" t="s">
        <v>165</v>
      </c>
      <c r="B3">
        <v>99.3755832851338</v>
      </c>
      <c r="C3">
        <v>98.773052859248594</v>
      </c>
      <c r="F3" s="58">
        <f>B3*$F$1/100</f>
        <v>4226.1642385036066</v>
      </c>
    </row>
    <row r="4" spans="1:9" x14ac:dyDescent="0.25">
      <c r="A4" t="s">
        <v>166</v>
      </c>
      <c r="B4">
        <v>94.910656738629598</v>
      </c>
      <c r="C4">
        <v>108.301667022911</v>
      </c>
      <c r="F4" s="58">
        <f t="shared" ref="F4:F67" si="0">B4*$F$1/100</f>
        <v>4036.2834622143237</v>
      </c>
    </row>
    <row r="5" spans="1:9" x14ac:dyDescent="0.25">
      <c r="A5" t="s">
        <v>167</v>
      </c>
      <c r="B5">
        <v>92.417748174909306</v>
      </c>
      <c r="C5">
        <v>98.448940703864096</v>
      </c>
      <c r="F5" s="58">
        <f t="shared" si="0"/>
        <v>3930.2670679092435</v>
      </c>
    </row>
    <row r="6" spans="1:9" x14ac:dyDescent="0.25">
      <c r="A6" t="s">
        <v>168</v>
      </c>
      <c r="B6">
        <v>92.630647657779306</v>
      </c>
      <c r="C6">
        <v>102.27415331174601</v>
      </c>
      <c r="F6" s="58">
        <f t="shared" si="0"/>
        <v>3939.3210845112849</v>
      </c>
      <c r="H6" s="58"/>
      <c r="I6" s="60"/>
    </row>
    <row r="7" spans="1:9" x14ac:dyDescent="0.25">
      <c r="A7" t="s">
        <v>169</v>
      </c>
      <c r="B7">
        <v>96.541742075179798</v>
      </c>
      <c r="C7">
        <v>105.949839900166</v>
      </c>
      <c r="F7" s="58">
        <f t="shared" si="0"/>
        <v>4105.6489370261561</v>
      </c>
    </row>
    <row r="8" spans="1:9" x14ac:dyDescent="0.25">
      <c r="A8" t="s">
        <v>170</v>
      </c>
      <c r="B8">
        <v>99.279795031515704</v>
      </c>
      <c r="C8">
        <v>104.50010587412601</v>
      </c>
      <c r="F8" s="58">
        <f t="shared" si="0"/>
        <v>4222.0906333128023</v>
      </c>
    </row>
    <row r="9" spans="1:9" x14ac:dyDescent="0.25">
      <c r="A9" t="s">
        <v>171</v>
      </c>
      <c r="B9">
        <v>102.996131683418</v>
      </c>
      <c r="C9">
        <v>105.11080067971901</v>
      </c>
      <c r="F9" s="58">
        <f t="shared" si="0"/>
        <v>4380.1359854738621</v>
      </c>
    </row>
    <row r="10" spans="1:9" x14ac:dyDescent="0.25">
      <c r="A10" t="s">
        <v>172</v>
      </c>
      <c r="B10">
        <v>100.56434202621</v>
      </c>
      <c r="C10">
        <v>105.708971358811</v>
      </c>
      <c r="F10" s="58">
        <f t="shared" si="0"/>
        <v>4276.7188064735874</v>
      </c>
    </row>
    <row r="11" spans="1:9" x14ac:dyDescent="0.25">
      <c r="A11" t="s">
        <v>173</v>
      </c>
      <c r="B11">
        <v>102.256935485637</v>
      </c>
      <c r="C11">
        <v>103.411243283266</v>
      </c>
      <c r="F11" s="58">
        <f t="shared" si="0"/>
        <v>4348.7000488682233</v>
      </c>
    </row>
    <row r="12" spans="1:9" x14ac:dyDescent="0.25">
      <c r="A12" t="s">
        <v>174</v>
      </c>
      <c r="B12">
        <v>105.44485121672599</v>
      </c>
      <c r="C12">
        <v>101.011888908068</v>
      </c>
      <c r="F12" s="58">
        <f t="shared" si="0"/>
        <v>4484.273144519243</v>
      </c>
    </row>
    <row r="13" spans="1:9" x14ac:dyDescent="0.25">
      <c r="A13" t="s">
        <v>175</v>
      </c>
      <c r="B13">
        <v>103.873643038914</v>
      </c>
      <c r="C13">
        <v>103.106998838371</v>
      </c>
      <c r="F13" s="58">
        <f t="shared" si="0"/>
        <v>4417.4540769696105</v>
      </c>
    </row>
    <row r="14" spans="1:9" x14ac:dyDescent="0.25">
      <c r="A14" t="s">
        <v>176</v>
      </c>
      <c r="B14">
        <v>104.520911746862</v>
      </c>
      <c r="C14">
        <v>102.17530535471001</v>
      </c>
      <c r="F14" s="58">
        <f t="shared" si="0"/>
        <v>4444.9805958166353</v>
      </c>
    </row>
    <row r="15" spans="1:9" x14ac:dyDescent="0.25">
      <c r="A15" t="s">
        <v>177</v>
      </c>
      <c r="B15">
        <v>104.12592719118901</v>
      </c>
      <c r="C15">
        <v>103.934714607945</v>
      </c>
      <c r="F15" s="58">
        <f t="shared" si="0"/>
        <v>4428.1830128615056</v>
      </c>
    </row>
    <row r="16" spans="1:9" x14ac:dyDescent="0.25">
      <c r="A16" t="s">
        <v>178</v>
      </c>
      <c r="B16">
        <v>101.18694866496401</v>
      </c>
      <c r="C16">
        <v>107.05957523180599</v>
      </c>
      <c r="F16" s="58">
        <f t="shared" si="0"/>
        <v>4303.1965168363777</v>
      </c>
    </row>
    <row r="17" spans="1:6" x14ac:dyDescent="0.25">
      <c r="A17" t="s">
        <v>179</v>
      </c>
      <c r="B17">
        <v>102.08291387510199</v>
      </c>
      <c r="C17">
        <v>106.632911970376</v>
      </c>
      <c r="F17" s="58">
        <f t="shared" si="0"/>
        <v>4341.2993989011211</v>
      </c>
    </row>
    <row r="18" spans="1:6" x14ac:dyDescent="0.25">
      <c r="A18" t="s">
        <v>180</v>
      </c>
      <c r="B18">
        <v>104.867651171844</v>
      </c>
      <c r="C18">
        <v>108.53050045906799</v>
      </c>
      <c r="F18" s="58">
        <f t="shared" si="0"/>
        <v>4459.7264489678437</v>
      </c>
    </row>
    <row r="19" spans="1:6" x14ac:dyDescent="0.25">
      <c r="A19" t="s">
        <v>181</v>
      </c>
      <c r="B19">
        <v>109.276867854087</v>
      </c>
      <c r="C19">
        <v>111.688343415527</v>
      </c>
      <c r="F19" s="58">
        <f t="shared" si="0"/>
        <v>4647.2380413158653</v>
      </c>
    </row>
    <row r="20" spans="1:6" x14ac:dyDescent="0.25">
      <c r="A20" t="s">
        <v>182</v>
      </c>
      <c r="B20">
        <v>112.656984253376</v>
      </c>
      <c r="C20">
        <v>113.335948068368</v>
      </c>
      <c r="F20" s="58">
        <f t="shared" si="0"/>
        <v>4790.984891159932</v>
      </c>
    </row>
    <row r="21" spans="1:6" x14ac:dyDescent="0.25">
      <c r="A21" t="s">
        <v>183</v>
      </c>
      <c r="B21">
        <v>113.44099745438299</v>
      </c>
      <c r="C21">
        <v>113.020753111381</v>
      </c>
      <c r="F21" s="58">
        <f t="shared" si="0"/>
        <v>4824.3267689439708</v>
      </c>
    </row>
    <row r="22" spans="1:6" x14ac:dyDescent="0.25">
      <c r="A22" t="s">
        <v>184</v>
      </c>
      <c r="B22">
        <v>113.253207505883</v>
      </c>
      <c r="C22">
        <v>116.93258322859501</v>
      </c>
      <c r="F22" s="58">
        <f t="shared" si="0"/>
        <v>4816.3405902623936</v>
      </c>
    </row>
    <row r="23" spans="1:6" x14ac:dyDescent="0.25">
      <c r="A23" t="s">
        <v>185</v>
      </c>
      <c r="B23">
        <v>116.978993873246</v>
      </c>
      <c r="C23">
        <v>116.873217667463</v>
      </c>
      <c r="F23" s="58">
        <f t="shared" si="0"/>
        <v>4974.7878122613338</v>
      </c>
    </row>
    <row r="24" spans="1:6" x14ac:dyDescent="0.25">
      <c r="A24" t="s">
        <v>186</v>
      </c>
      <c r="B24">
        <v>114.87351876382</v>
      </c>
      <c r="C24">
        <v>115.982343689666</v>
      </c>
      <c r="F24" s="58">
        <f t="shared" si="0"/>
        <v>4885.2478737939055</v>
      </c>
    </row>
    <row r="25" spans="1:6" x14ac:dyDescent="0.25">
      <c r="A25" t="s">
        <v>187</v>
      </c>
      <c r="B25">
        <v>119.656661742048</v>
      </c>
      <c r="C25">
        <v>120.575906251053</v>
      </c>
      <c r="F25" s="58">
        <f t="shared" si="0"/>
        <v>5088.6615005017529</v>
      </c>
    </row>
    <row r="26" spans="1:6" x14ac:dyDescent="0.25">
      <c r="A26" t="s">
        <v>188</v>
      </c>
      <c r="B26">
        <v>112.494228051707</v>
      </c>
      <c r="C26">
        <v>115.24106578609999</v>
      </c>
      <c r="F26" s="58">
        <f t="shared" si="0"/>
        <v>4784.0633273678022</v>
      </c>
    </row>
    <row r="27" spans="1:6" x14ac:dyDescent="0.25">
      <c r="A27" t="s">
        <v>189</v>
      </c>
      <c r="B27">
        <v>108.13088176521001</v>
      </c>
      <c r="C27">
        <v>110.746687354367</v>
      </c>
      <c r="F27" s="58">
        <f t="shared" si="0"/>
        <v>4598.5024740212466</v>
      </c>
    </row>
    <row r="28" spans="1:6" x14ac:dyDescent="0.25">
      <c r="A28" t="s">
        <v>190</v>
      </c>
      <c r="B28">
        <v>112.430692935118</v>
      </c>
      <c r="C28">
        <v>115.355291754668</v>
      </c>
      <c r="F28" s="58">
        <f t="shared" si="0"/>
        <v>4781.361357439765</v>
      </c>
    </row>
    <row r="29" spans="1:6" x14ac:dyDescent="0.25">
      <c r="A29" t="s">
        <v>191</v>
      </c>
      <c r="B29">
        <v>118.92874137862199</v>
      </c>
      <c r="C29">
        <v>116.926885186213</v>
      </c>
      <c r="F29" s="58">
        <f t="shared" si="0"/>
        <v>5057.7050934378285</v>
      </c>
    </row>
    <row r="30" spans="1:6" x14ac:dyDescent="0.25">
      <c r="A30" t="s">
        <v>192</v>
      </c>
      <c r="B30">
        <v>126.20910839484399</v>
      </c>
      <c r="C30">
        <v>120.576049031336</v>
      </c>
      <c r="F30" s="58">
        <f t="shared" si="0"/>
        <v>5367.3186394419545</v>
      </c>
    </row>
    <row r="31" spans="1:6" x14ac:dyDescent="0.25">
      <c r="A31" t="s">
        <v>193</v>
      </c>
      <c r="B31">
        <v>127.727800447824</v>
      </c>
      <c r="C31">
        <v>122.903207970404</v>
      </c>
      <c r="F31" s="58">
        <f t="shared" si="0"/>
        <v>5431.9043438114886</v>
      </c>
    </row>
    <row r="32" spans="1:6" x14ac:dyDescent="0.25">
      <c r="A32" t="s">
        <v>194</v>
      </c>
      <c r="B32">
        <v>134.643306024943</v>
      </c>
      <c r="C32">
        <v>123.254014240442</v>
      </c>
      <c r="F32" s="58">
        <f t="shared" si="0"/>
        <v>5726.0013583400541</v>
      </c>
    </row>
    <row r="33" spans="1:6" x14ac:dyDescent="0.25">
      <c r="A33" t="s">
        <v>195</v>
      </c>
      <c r="B33">
        <v>133.36560816282201</v>
      </c>
      <c r="C33">
        <v>124.74428722108701</v>
      </c>
      <c r="F33" s="58">
        <f t="shared" si="0"/>
        <v>5671.6644595365015</v>
      </c>
    </row>
    <row r="34" spans="1:6" x14ac:dyDescent="0.25">
      <c r="A34" t="s">
        <v>196</v>
      </c>
      <c r="B34">
        <v>137.16841780558099</v>
      </c>
      <c r="C34">
        <v>124.817201843928</v>
      </c>
      <c r="F34" s="58">
        <f t="shared" si="0"/>
        <v>5833.3872649458754</v>
      </c>
    </row>
    <row r="35" spans="1:6" x14ac:dyDescent="0.25">
      <c r="A35" t="s">
        <v>197</v>
      </c>
      <c r="B35">
        <v>137.67360294525099</v>
      </c>
      <c r="C35">
        <v>129.88356108347801</v>
      </c>
      <c r="F35" s="60">
        <f t="shared" si="0"/>
        <v>5854.8713689935566</v>
      </c>
    </row>
    <row r="36" spans="1:6" x14ac:dyDescent="0.25">
      <c r="A36" t="s">
        <v>198</v>
      </c>
      <c r="B36">
        <v>142.01728700167399</v>
      </c>
      <c r="C36">
        <v>129.63067387972899</v>
      </c>
      <c r="F36" s="60">
        <f t="shared" si="0"/>
        <v>6039.5960429604193</v>
      </c>
    </row>
    <row r="37" spans="1:6" x14ac:dyDescent="0.25">
      <c r="A37" t="s">
        <v>199</v>
      </c>
      <c r="B37">
        <v>144.27924233791401</v>
      </c>
      <c r="C37">
        <v>129.29326674753901</v>
      </c>
      <c r="F37" s="60">
        <f t="shared" si="0"/>
        <v>6135.7906456495084</v>
      </c>
    </row>
    <row r="38" spans="1:6" x14ac:dyDescent="0.25">
      <c r="A38" t="s">
        <v>200</v>
      </c>
      <c r="B38">
        <v>147.35606869598499</v>
      </c>
      <c r="C38">
        <v>129.40565314243199</v>
      </c>
      <c r="F38" s="60">
        <f t="shared" si="0"/>
        <v>6266.6394225090662</v>
      </c>
    </row>
    <row r="39" spans="1:6" x14ac:dyDescent="0.25">
      <c r="A39" t="s">
        <v>129</v>
      </c>
      <c r="B39">
        <v>147.739863440189</v>
      </c>
      <c r="C39">
        <v>126.297630301608</v>
      </c>
      <c r="F39" s="60">
        <f t="shared" si="0"/>
        <v>6282.9611342340359</v>
      </c>
    </row>
    <row r="40" spans="1:6" x14ac:dyDescent="0.25">
      <c r="A40" t="s">
        <v>130</v>
      </c>
      <c r="B40">
        <v>144.73029430743799</v>
      </c>
      <c r="C40">
        <v>119.79253307601201</v>
      </c>
      <c r="F40" s="60">
        <f t="shared" si="0"/>
        <v>6154.9726181249753</v>
      </c>
    </row>
    <row r="41" spans="1:6" x14ac:dyDescent="0.25">
      <c r="A41" t="s">
        <v>131</v>
      </c>
      <c r="B41">
        <v>149.38513424528901</v>
      </c>
      <c r="C41">
        <v>130.94532656339601</v>
      </c>
      <c r="F41" s="60">
        <f t="shared" si="0"/>
        <v>6352.9298771516724</v>
      </c>
    </row>
    <row r="42" spans="1:6" x14ac:dyDescent="0.25">
      <c r="A42" t="s">
        <v>132</v>
      </c>
      <c r="B42">
        <v>147.32181472902701</v>
      </c>
      <c r="C42">
        <v>131.03611344232201</v>
      </c>
      <c r="F42" s="60">
        <f t="shared" si="0"/>
        <v>6265.1826975732311</v>
      </c>
    </row>
    <row r="43" spans="1:6" x14ac:dyDescent="0.25">
      <c r="A43" t="s">
        <v>133</v>
      </c>
      <c r="B43">
        <v>150.64080689445501</v>
      </c>
      <c r="C43">
        <v>134.05076507644699</v>
      </c>
      <c r="F43" s="59">
        <f t="shared" si="0"/>
        <v>6406.3301055553256</v>
      </c>
    </row>
    <row r="44" spans="1:6" x14ac:dyDescent="0.25">
      <c r="A44" t="s">
        <v>134</v>
      </c>
      <c r="B44">
        <v>158.38730896788601</v>
      </c>
      <c r="C44">
        <v>139.19949294653799</v>
      </c>
      <c r="F44" s="59">
        <f t="shared" si="0"/>
        <v>6735.7670653595715</v>
      </c>
    </row>
    <row r="45" spans="1:6" x14ac:dyDescent="0.25">
      <c r="A45" t="s">
        <v>135</v>
      </c>
      <c r="B45">
        <v>160.54453496042399</v>
      </c>
      <c r="C45">
        <v>138.50092862710201</v>
      </c>
      <c r="F45" s="59">
        <f t="shared" si="0"/>
        <v>6827.5078234276389</v>
      </c>
    </row>
    <row r="46" spans="1:6" x14ac:dyDescent="0.25">
      <c r="A46" t="s">
        <v>136</v>
      </c>
      <c r="B46">
        <v>154.71816937595301</v>
      </c>
      <c r="C46">
        <v>138.90819507711299</v>
      </c>
      <c r="F46" s="59">
        <f t="shared" si="0"/>
        <v>6579.7288715004906</v>
      </c>
    </row>
    <row r="47" spans="1:6" x14ac:dyDescent="0.25">
      <c r="A47" t="s">
        <v>137</v>
      </c>
      <c r="B47">
        <v>162.32149964947499</v>
      </c>
      <c r="C47">
        <v>139.32319439938999</v>
      </c>
      <c r="F47" s="59">
        <f t="shared" si="0"/>
        <v>6903.0771370728589</v>
      </c>
    </row>
    <row r="48" spans="1:6" x14ac:dyDescent="0.25">
      <c r="A48" t="s">
        <v>138</v>
      </c>
      <c r="B48">
        <v>155.88329870167499</v>
      </c>
      <c r="C48">
        <v>136.99195544454901</v>
      </c>
      <c r="F48" s="59">
        <f t="shared" si="0"/>
        <v>6629.2785468515249</v>
      </c>
    </row>
    <row r="49" spans="1:6" x14ac:dyDescent="0.25">
      <c r="A49" t="s">
        <v>139</v>
      </c>
      <c r="B49">
        <v>146.53102600668899</v>
      </c>
      <c r="C49">
        <v>137.131094469376</v>
      </c>
      <c r="F49" s="59">
        <f t="shared" si="0"/>
        <v>6231.5526759111908</v>
      </c>
    </row>
    <row r="50" spans="1:6" x14ac:dyDescent="0.25">
      <c r="A50" t="s">
        <v>140</v>
      </c>
      <c r="B50">
        <v>150.06466881160699</v>
      </c>
      <c r="C50">
        <v>135.86442348155001</v>
      </c>
      <c r="F50" s="59">
        <f t="shared" si="0"/>
        <v>6381.828572264335</v>
      </c>
    </row>
    <row r="51" spans="1:6" x14ac:dyDescent="0.25">
      <c r="A51" t="s">
        <v>141</v>
      </c>
      <c r="B51">
        <v>148.31704110266099</v>
      </c>
      <c r="C51">
        <v>134.43905369447799</v>
      </c>
      <c r="F51" s="59">
        <f t="shared" si="0"/>
        <v>6307.5068779244493</v>
      </c>
    </row>
    <row r="52" spans="1:6" x14ac:dyDescent="0.25">
      <c r="A52" t="s">
        <v>142</v>
      </c>
      <c r="B52">
        <v>142.000879528507</v>
      </c>
      <c r="C52">
        <v>132.450925391884</v>
      </c>
      <c r="F52" s="59">
        <f t="shared" si="0"/>
        <v>6038.8982792437173</v>
      </c>
    </row>
    <row r="53" spans="1:6" x14ac:dyDescent="0.25">
      <c r="A53" t="s">
        <v>143</v>
      </c>
      <c r="B53">
        <v>140.70387892283699</v>
      </c>
      <c r="C53">
        <v>129.03049560067001</v>
      </c>
      <c r="F53" s="59">
        <f t="shared" si="0"/>
        <v>5983.7404890119578</v>
      </c>
    </row>
    <row r="54" spans="1:6" x14ac:dyDescent="0.25">
      <c r="A54" t="s">
        <v>144</v>
      </c>
      <c r="B54">
        <v>140.325289426003</v>
      </c>
      <c r="C54">
        <v>127.55089520944</v>
      </c>
      <c r="F54" s="59">
        <f t="shared" si="0"/>
        <v>5967.6401418270543</v>
      </c>
    </row>
    <row r="55" spans="1:6" x14ac:dyDescent="0.25">
      <c r="A55" t="s">
        <v>145</v>
      </c>
      <c r="B55">
        <v>139.32796149661701</v>
      </c>
      <c r="C55">
        <v>127.691560265927</v>
      </c>
      <c r="F55" s="59">
        <f t="shared" si="0"/>
        <v>5925.226588216623</v>
      </c>
    </row>
    <row r="56" spans="1:6" x14ac:dyDescent="0.25">
      <c r="A56" t="s">
        <v>146</v>
      </c>
      <c r="B56">
        <v>136.606553708375</v>
      </c>
      <c r="C56">
        <v>127.46484541764799</v>
      </c>
      <c r="F56" s="59">
        <f t="shared" si="0"/>
        <v>5809.4927641438226</v>
      </c>
    </row>
    <row r="57" spans="1:6" x14ac:dyDescent="0.25">
      <c r="A57" t="s">
        <v>147</v>
      </c>
      <c r="B57">
        <v>133.75027709670101</v>
      </c>
      <c r="C57">
        <v>128.02946142758199</v>
      </c>
      <c r="F57" s="59">
        <f t="shared" si="0"/>
        <v>5688.023348091232</v>
      </c>
    </row>
    <row r="58" spans="1:6" x14ac:dyDescent="0.25">
      <c r="A58" t="s">
        <v>148</v>
      </c>
      <c r="B58">
        <v>128.92500142570401</v>
      </c>
      <c r="C58">
        <v>127.62823031692</v>
      </c>
      <c r="F58" s="59">
        <f t="shared" si="0"/>
        <v>5482.8179363838308</v>
      </c>
    </row>
    <row r="59" spans="1:6" x14ac:dyDescent="0.25">
      <c r="A59" t="s">
        <v>149</v>
      </c>
      <c r="B59">
        <v>128.49650534249699</v>
      </c>
      <c r="C59">
        <v>130.36331749925901</v>
      </c>
      <c r="F59" s="59">
        <f t="shared" si="0"/>
        <v>5464.5952023547634</v>
      </c>
    </row>
    <row r="60" spans="1:6" x14ac:dyDescent="0.25">
      <c r="A60" t="s">
        <v>150</v>
      </c>
      <c r="B60">
        <v>127.03527663909099</v>
      </c>
      <c r="C60">
        <v>131.61254287941799</v>
      </c>
      <c r="F60" s="59">
        <f t="shared" si="0"/>
        <v>5402.4532527282581</v>
      </c>
    </row>
    <row r="61" spans="1:6" x14ac:dyDescent="0.25">
      <c r="A61" t="s">
        <v>151</v>
      </c>
      <c r="B61">
        <v>124.858784826574</v>
      </c>
      <c r="C61">
        <v>128.28136525158101</v>
      </c>
      <c r="F61" s="59">
        <f t="shared" si="0"/>
        <v>5309.8931734876332</v>
      </c>
    </row>
    <row r="62" spans="1:6" x14ac:dyDescent="0.25">
      <c r="A62" t="s">
        <v>152</v>
      </c>
      <c r="B62">
        <v>126.832602002954</v>
      </c>
      <c r="C62">
        <v>129.00032305735601</v>
      </c>
      <c r="F62" s="59">
        <f t="shared" si="0"/>
        <v>5393.8340701184179</v>
      </c>
    </row>
    <row r="63" spans="1:6" x14ac:dyDescent="0.25">
      <c r="A63" t="s">
        <v>153</v>
      </c>
      <c r="B63">
        <v>125.368458310577</v>
      </c>
      <c r="C63">
        <v>131.541360161673</v>
      </c>
      <c r="F63" s="59">
        <f t="shared" si="0"/>
        <v>5331.5681542042421</v>
      </c>
    </row>
    <row r="64" spans="1:6" x14ac:dyDescent="0.25">
      <c r="A64" t="s">
        <v>154</v>
      </c>
      <c r="B64">
        <v>124.198260846666</v>
      </c>
      <c r="C64">
        <v>127.568675921777</v>
      </c>
      <c r="F64" s="59">
        <f t="shared" si="0"/>
        <v>5281.8029451812317</v>
      </c>
    </row>
    <row r="65" spans="1:6" x14ac:dyDescent="0.25">
      <c r="A65" t="s">
        <v>155</v>
      </c>
      <c r="B65">
        <v>122.18007430148</v>
      </c>
      <c r="C65">
        <v>136.29146050895599</v>
      </c>
      <c r="F65" s="59">
        <f t="shared" si="0"/>
        <v>5195.975144005748</v>
      </c>
    </row>
    <row r="66" spans="1:6" x14ac:dyDescent="0.25">
      <c r="A66" t="s">
        <v>156</v>
      </c>
      <c r="B66">
        <v>122.583538674061</v>
      </c>
      <c r="C66">
        <v>135.04895689578601</v>
      </c>
      <c r="F66" s="59">
        <f t="shared" si="0"/>
        <v>5213.1333497394407</v>
      </c>
    </row>
    <row r="67" spans="1:6" x14ac:dyDescent="0.25">
      <c r="A67" t="s">
        <v>157</v>
      </c>
      <c r="B67">
        <v>120.240771536399</v>
      </c>
      <c r="C67">
        <v>134.316985107287</v>
      </c>
      <c r="F67" s="59">
        <f t="shared" si="0"/>
        <v>5113.5020482765822</v>
      </c>
    </row>
    <row r="68" spans="1:6" x14ac:dyDescent="0.25">
      <c r="A68" t="s">
        <v>158</v>
      </c>
      <c r="B68">
        <v>125.463498522365</v>
      </c>
      <c r="C68">
        <v>134.025985672747</v>
      </c>
      <c r="F68" s="59">
        <f t="shared" ref="F68:F83" si="1">B68*$F$1/100</f>
        <v>5335.6099472785609</v>
      </c>
    </row>
    <row r="69" spans="1:6" x14ac:dyDescent="0.25">
      <c r="A69" t="s">
        <v>159</v>
      </c>
      <c r="B69">
        <v>124.187176154913</v>
      </c>
      <c r="C69">
        <v>134.02930718379901</v>
      </c>
      <c r="F69" s="59">
        <f t="shared" si="1"/>
        <v>5281.3315443971287</v>
      </c>
    </row>
    <row r="70" spans="1:6" x14ac:dyDescent="0.25">
      <c r="A70" t="s">
        <v>160</v>
      </c>
      <c r="B70">
        <v>120.275014262227</v>
      </c>
      <c r="C70">
        <v>132.840151589508</v>
      </c>
      <c r="F70" s="59">
        <f t="shared" si="1"/>
        <v>5114.9582951587563</v>
      </c>
    </row>
    <row r="71" spans="1:6" x14ac:dyDescent="0.25">
      <c r="A71" t="s">
        <v>161</v>
      </c>
      <c r="B71">
        <v>118.151426838153</v>
      </c>
      <c r="C71">
        <v>129.424828513189</v>
      </c>
      <c r="F71" s="59">
        <f t="shared" si="1"/>
        <v>5024.6480908582989</v>
      </c>
    </row>
    <row r="72" spans="1:6" x14ac:dyDescent="0.25">
      <c r="A72" t="s">
        <v>162</v>
      </c>
      <c r="B72">
        <v>111.135094915238</v>
      </c>
      <c r="C72">
        <v>109.056984784241</v>
      </c>
      <c r="F72" s="59">
        <f t="shared" si="1"/>
        <v>4726.2632152393553</v>
      </c>
    </row>
    <row r="73" spans="1:6" x14ac:dyDescent="0.25">
      <c r="A73" t="s">
        <v>163</v>
      </c>
      <c r="B73">
        <v>117.46287998383499</v>
      </c>
      <c r="C73">
        <v>129.363289316818</v>
      </c>
      <c r="F73" s="59">
        <f t="shared" si="1"/>
        <v>4995.3661284681657</v>
      </c>
    </row>
    <row r="74" spans="1:6" x14ac:dyDescent="0.25">
      <c r="A74" t="s">
        <v>164</v>
      </c>
      <c r="B74">
        <v>118.914561262414</v>
      </c>
      <c r="C74">
        <v>131.131225480669</v>
      </c>
      <c r="F74" s="59">
        <f t="shared" si="1"/>
        <v>5057.1020529520774</v>
      </c>
    </row>
    <row r="75" spans="1:6" x14ac:dyDescent="0.25">
      <c r="A75" t="s">
        <v>201</v>
      </c>
      <c r="B75">
        <v>134.659265420049</v>
      </c>
      <c r="C75">
        <v>137.25704631963399</v>
      </c>
      <c r="F75" s="59">
        <f t="shared" si="1"/>
        <v>5726.6800665562514</v>
      </c>
    </row>
    <row r="76" spans="1:6" x14ac:dyDescent="0.25">
      <c r="A76" t="s">
        <v>202</v>
      </c>
      <c r="B76">
        <v>133.19290110889199</v>
      </c>
      <c r="C76">
        <v>141.914605965475</v>
      </c>
      <c r="F76" s="59">
        <f t="shared" si="1"/>
        <v>5664.3197139669373</v>
      </c>
    </row>
    <row r="77" spans="1:6" x14ac:dyDescent="0.25">
      <c r="A77" t="s">
        <v>203</v>
      </c>
      <c r="B77">
        <v>137.10338031664301</v>
      </c>
      <c r="C77">
        <v>134.03933118832799</v>
      </c>
      <c r="F77" s="59">
        <f t="shared" si="1"/>
        <v>5830.6214033446104</v>
      </c>
    </row>
    <row r="78" spans="1:6" x14ac:dyDescent="0.25">
      <c r="A78" t="s">
        <v>204</v>
      </c>
      <c r="B78">
        <v>138.61110621552999</v>
      </c>
      <c r="C78">
        <v>135.52155335976099</v>
      </c>
      <c r="F78" s="59">
        <f t="shared" si="1"/>
        <v>5894.7407480035408</v>
      </c>
    </row>
    <row r="79" spans="1:6" x14ac:dyDescent="0.25">
      <c r="A79" t="s">
        <v>205</v>
      </c>
      <c r="B79">
        <v>140.27442194814401</v>
      </c>
      <c r="C79">
        <v>129.476634483433</v>
      </c>
      <c r="F79" s="59">
        <f t="shared" si="1"/>
        <v>5965.4768909688064</v>
      </c>
    </row>
    <row r="80" spans="1:6" x14ac:dyDescent="0.25">
      <c r="A80" t="s">
        <v>206</v>
      </c>
      <c r="B80">
        <v>145.360400891479</v>
      </c>
      <c r="C80">
        <v>127.558958373384</v>
      </c>
      <c r="F80" s="59">
        <f t="shared" si="1"/>
        <v>6181.7692800804498</v>
      </c>
    </row>
    <row r="81" spans="1:6" x14ac:dyDescent="0.25">
      <c r="A81" t="s">
        <v>207</v>
      </c>
      <c r="B81">
        <v>145.51732419228901</v>
      </c>
      <c r="C81">
        <v>131.604797841302</v>
      </c>
      <c r="F81" s="59">
        <f t="shared" si="1"/>
        <v>6188.4427869937963</v>
      </c>
    </row>
    <row r="82" spans="1:6" x14ac:dyDescent="0.25">
      <c r="A82" t="s">
        <v>208</v>
      </c>
      <c r="B82">
        <v>144.07544688967701</v>
      </c>
      <c r="C82">
        <v>132.75732139856899</v>
      </c>
      <c r="F82" s="59">
        <f t="shared" si="1"/>
        <v>6127.1237980513633</v>
      </c>
    </row>
    <row r="83" spans="1:6" x14ac:dyDescent="0.25">
      <c r="A83" t="s">
        <v>209</v>
      </c>
      <c r="B83">
        <v>141.55769274634099</v>
      </c>
      <c r="C83">
        <v>131.84069657614401</v>
      </c>
      <c r="F83" s="59">
        <f t="shared" si="1"/>
        <v>6020.0507910796123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GDP</vt:lpstr>
      <vt:lpstr>Goverment Expenditure</vt:lpstr>
      <vt:lpstr>Goverment Revenues</vt:lpstr>
      <vt:lpstr>Series</vt:lpstr>
      <vt:lpstr>Correlations</vt:lpstr>
      <vt:lpstr>Taylor-RS</vt:lpstr>
      <vt:lpstr>PMC-Potencial</vt:lpstr>
      <vt:lpstr>Ac</vt:lpstr>
      <vt:lpstr>Ad</vt:lpstr>
      <vt:lpstr>Employment</vt:lpstr>
      <vt:lpstr>Durable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MARCHIONATTI</dc:creator>
  <cp:lastModifiedBy>CARLOS MARCHIONATTI</cp:lastModifiedBy>
  <dcterms:created xsi:type="dcterms:W3CDTF">2024-01-08T17:04:15Z</dcterms:created>
  <dcterms:modified xsi:type="dcterms:W3CDTF">2025-02-07T23:54:40Z</dcterms:modified>
</cp:coreProperties>
</file>